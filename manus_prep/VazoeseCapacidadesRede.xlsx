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/>
  <bookViews>
    <workbookView xWindow="7635" yWindow="-15" windowWidth="7335" windowHeight="9015" tabRatio="773"/>
  </bookViews>
  <sheets>
    <sheet name="Vazoes e Calculo Hidraulico" sheetId="4" r:id="rId1"/>
    <sheet name="CH" sheetId="7" r:id="rId2"/>
  </sheets>
  <definedNames>
    <definedName name="_xlnm._FilterDatabase" localSheetId="0" hidden="1">'Vazoes e Calculo Hidraulico'!$A$35:$AN$35</definedName>
    <definedName name="_Order1" hidden="1">255</definedName>
    <definedName name="_xlnm.Print_Area" localSheetId="0">'Vazoes e Calculo Hidraulico'!$B$4:$AO$35</definedName>
    <definedName name="col_a">'Vazoes e Calculo Hidraulico'!#REF!</definedName>
    <definedName name="col_b">'Vazoes e Calculo Hidraulico'!#REF!</definedName>
    <definedName name="Coletor">OFFSET('Vazoes e Calculo Hidraulico'!#REF!,0,0,COUNTA('Vazoes e Calculo Hidraulico'!$B:$B),1)</definedName>
    <definedName name="Cotas">OFFSET('Vazoes e Calculo Hidraulico'!#REF!,0,0,COUNTA('Vazoes e Calculo Hidraulico'!#REF!),40)</definedName>
    <definedName name="EEq_trecho">OFFSET('Vazoes e Calculo Hidraulico'!$D$18,0,0,COUNTA('Vazoes e Calculo Hidraulico'!$Y:$Y),1)</definedName>
    <definedName name="N_Coletor">'Vazoes e Calculo Hidraulico'!#REF!</definedName>
    <definedName name="Q_trecho">'Vazoes e Calculo Hidraulico'!#REF!</definedName>
    <definedName name="Qeq_trecho">'Vazoes e Calculo Hidraulico'!#REF!</definedName>
    <definedName name="trecho">OFFSET('Vazoes e Calculo Hidraulico'!#REF!,0,0,COUNTA('Vazoes e Calculo Hidraulico'!#REF!),1)</definedName>
  </definedNames>
  <calcPr calcId="144525"/>
</workbook>
</file>

<file path=xl/calcChain.xml><?xml version="1.0" encoding="utf-8"?>
<calcChain xmlns="http://schemas.openxmlformats.org/spreadsheetml/2006/main">
  <c r="D18" i="4" l="1"/>
  <c r="N15" i="4" l="1"/>
  <c r="M15" i="4" s="1"/>
  <c r="N11" i="4"/>
  <c r="M11" i="4" s="1"/>
  <c r="N12" i="4"/>
  <c r="M12" i="4" s="1"/>
  <c r="N13" i="4"/>
  <c r="M13" i="4" s="1"/>
  <c r="N14" i="4"/>
  <c r="M14" i="4" s="1"/>
  <c r="N10" i="4"/>
  <c r="M10" i="4" s="1"/>
  <c r="F6" i="7" l="1"/>
  <c r="E6" i="7"/>
  <c r="D6" i="7"/>
  <c r="J6" i="7"/>
  <c r="D19" i="4" l="1"/>
  <c r="C6" i="7" s="1"/>
  <c r="H6" i="7" s="1"/>
  <c r="I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l="1"/>
  <c r="AC6" i="7" l="1"/>
  <c r="AE6" i="7" s="1"/>
  <c r="D29" i="4" s="1"/>
  <c r="AD6" i="7"/>
  <c r="D27" i="4" s="1"/>
  <c r="AA6" i="7"/>
  <c r="D25" i="4" s="1"/>
  <c r="AB6" i="7"/>
  <c r="D26" i="4" s="1"/>
  <c r="G6" i="7"/>
  <c r="Z6" i="7" l="1"/>
  <c r="AF6" i="7"/>
  <c r="D30" i="4" s="1"/>
  <c r="AG6" i="7"/>
  <c r="D31" i="4" s="1"/>
</calcChain>
</file>

<file path=xl/sharedStrings.xml><?xml version="1.0" encoding="utf-8"?>
<sst xmlns="http://schemas.openxmlformats.org/spreadsheetml/2006/main" count="67" uniqueCount="62">
  <si>
    <t>n</t>
  </si>
  <si>
    <t>y/do</t>
  </si>
  <si>
    <t>Pa</t>
  </si>
  <si>
    <t>l/s</t>
  </si>
  <si>
    <t>mm</t>
  </si>
  <si>
    <t>m</t>
  </si>
  <si>
    <t>Qcalc (l/s)</t>
  </si>
  <si>
    <t>Diam (mm)</t>
  </si>
  <si>
    <t>I (m/m)</t>
  </si>
  <si>
    <t>E</t>
  </si>
  <si>
    <t>E'</t>
  </si>
  <si>
    <t>V</t>
  </si>
  <si>
    <t>y/D</t>
  </si>
  <si>
    <t>OCULTAR</t>
  </si>
  <si>
    <t>ttrat</t>
  </si>
  <si>
    <t>TETA</t>
  </si>
  <si>
    <t>Teta</t>
  </si>
  <si>
    <t>A</t>
  </si>
  <si>
    <t>P</t>
  </si>
  <si>
    <t>Y</t>
  </si>
  <si>
    <t>Rh</t>
  </si>
  <si>
    <t>ud</t>
  </si>
  <si>
    <t>m2</t>
  </si>
  <si>
    <t>m/m</t>
  </si>
  <si>
    <t>m/s</t>
  </si>
  <si>
    <t>Tirante (y/Do)</t>
  </si>
  <si>
    <t>Área hidráulica (A)</t>
  </si>
  <si>
    <t>K1 (Coef máx. diário)</t>
  </si>
  <si>
    <t>n (Coef. Manning)</t>
  </si>
  <si>
    <t>hab/casa</t>
  </si>
  <si>
    <t>K2 (Coef máx. horario)</t>
  </si>
  <si>
    <t xml:space="preserve">Curso - Sistema Condominial de Esgoto </t>
  </si>
  <si>
    <t>Estimativa de Vazões e Capacidade das Tubulações de Esgoto</t>
  </si>
  <si>
    <t>Capacidade Mínima de Tubulações - Auxiliar para Dimensionamiento Simplificado de Coletores de Esgoto</t>
  </si>
  <si>
    <t>Diâmetros (mm)</t>
  </si>
  <si>
    <t>quantidade Habitantes (eq)</t>
  </si>
  <si>
    <t>quantidade Residencias  (eq)</t>
  </si>
  <si>
    <t>Obs.: Essas vazões não consideram a vazão de infiltração na Rede Básica</t>
  </si>
  <si>
    <t>Preencher somente as células em amarelo</t>
  </si>
  <si>
    <t>PARÂMETROS E CRITERIOS BASICOS :</t>
  </si>
  <si>
    <t>PARâMETROS DE REFERÊNCIA</t>
  </si>
  <si>
    <t>Per capita de Água</t>
  </si>
  <si>
    <t>l/hab/dia</t>
  </si>
  <si>
    <t>Capacidade mínima da tubulação</t>
  </si>
  <si>
    <t>Taxa de ocupação</t>
  </si>
  <si>
    <t>C (Coef. retorno de esgoto)</t>
  </si>
  <si>
    <t>Força trativa mín</t>
  </si>
  <si>
    <t>Lâmina máxima</t>
  </si>
  <si>
    <t>Vazão mínima</t>
  </si>
  <si>
    <t>INFORMAÇÃO DO TRECHO</t>
  </si>
  <si>
    <t>Quantidade de Residencias</t>
  </si>
  <si>
    <t>Vazão estimada</t>
  </si>
  <si>
    <t>Vazão de cálculo</t>
  </si>
  <si>
    <t>Declividade (I)</t>
  </si>
  <si>
    <t>Diâmetro (DN)</t>
  </si>
  <si>
    <t>SEÇÃO HIDRÁULICA E CONDIÇÃO DE ESCOAMENTO</t>
  </si>
  <si>
    <t>Perimetro molhado (P)</t>
  </si>
  <si>
    <t>Raio hidráulico (Rh)</t>
  </si>
  <si>
    <t>Força trativa</t>
  </si>
  <si>
    <t>Velocidade</t>
  </si>
  <si>
    <t>Pery Nazareth</t>
  </si>
  <si>
    <t>Declividade considerada (m/m)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</si>
</sst>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_-* #,##0.00\ _€_-;\-* #,##0.00\ _€_-;_-* &quot;-&quot;??\ _€_-;_-@_-"/>
    <numFmt numFmtId="166" formatCode="0.0"/>
    <numFmt numFmtId="167" formatCode="#,##0.000"/>
    <numFmt numFmtId="168" formatCode="0.0000"/>
    <numFmt numFmtId="169" formatCode="#,##0.0000"/>
    <numFmt numFmtId="170" formatCode="_(* #,##0.00000_);_(* \(#,##0.00000\);_(* &quot;-&quot;??_);_(@_)"/>
  </numFmts>
  <fonts count="59" x14ac:knownFonts="1">
    <font>
      <sz val="10"/>
      <name val="Tahoma"/>
    </font>
    <font>
      <sz val="10"/>
      <name val="Tahoma"/>
      <family val="2"/>
    </font>
    <font>
      <sz val="7.5"/>
      <name val="MS Sans Serif"/>
      <family val="2"/>
    </font>
    <font>
      <sz val="10"/>
      <name val="MS Sans Serif"/>
      <family val="2"/>
    </font>
    <font>
      <sz val="7.5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u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sz val="8"/>
      <name val="Tahoma"/>
      <family val="2"/>
    </font>
    <font>
      <sz val="7.25"/>
      <name val="Tahoma"/>
      <family val="2"/>
    </font>
    <font>
      <sz val="7.5"/>
      <color indexed="10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b/>
      <u/>
      <sz val="10"/>
      <name val="Tahoma"/>
      <family val="2"/>
    </font>
    <font>
      <b/>
      <sz val="14"/>
      <name val="Tahoma"/>
      <family val="2"/>
    </font>
    <font>
      <b/>
      <sz val="12"/>
      <color indexed="10"/>
      <name val="Tahoma"/>
      <family val="2"/>
    </font>
    <font>
      <sz val="7.5"/>
      <color indexed="12"/>
      <name val="Tahoma"/>
      <family val="2"/>
    </font>
    <font>
      <b/>
      <sz val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Tahoma"/>
      <family val="2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14"/>
      <name val="Tahoma"/>
      <family val="2"/>
    </font>
    <font>
      <b/>
      <sz val="7.5"/>
      <color rgb="FFC00000"/>
      <name val="Tahoma"/>
      <family val="2"/>
    </font>
    <font>
      <b/>
      <sz val="10"/>
      <color theme="4"/>
      <name val="Tahoma"/>
      <family val="2"/>
    </font>
    <font>
      <b/>
      <sz val="12"/>
      <color theme="4"/>
      <name val="Tahoma"/>
      <family val="2"/>
    </font>
    <font>
      <b/>
      <sz val="10"/>
      <color rgb="FFC00000"/>
      <name val="Tahoma"/>
      <family val="2"/>
    </font>
    <font>
      <b/>
      <sz val="10"/>
      <color rgb="FF00B050"/>
      <name val="Tahoma"/>
      <family val="2"/>
    </font>
    <font>
      <b/>
      <sz val="14"/>
      <color rgb="FFC00000"/>
      <name val="Tahoma"/>
      <family val="2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66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7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22" fillId="3" borderId="0" applyNumberFormat="0" applyBorder="0" applyAlignment="0" applyProtection="0"/>
    <xf numFmtId="0" fontId="17" fillId="20" borderId="1" applyNumberFormat="0" applyAlignment="0" applyProtection="0"/>
    <xf numFmtId="0" fontId="18" fillId="21" borderId="2" applyNumberFormat="0" applyAlignment="0" applyProtection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27" fillId="0" borderId="3" applyNumberFormat="0" applyFill="0" applyAlignment="0" applyProtection="0"/>
    <xf numFmtId="0" fontId="28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19" fillId="0" borderId="6" applyNumberFormat="0" applyFill="0" applyAlignment="0" applyProtection="0"/>
    <xf numFmtId="165" fontId="13" fillId="0" borderId="0" applyFont="0" applyFill="0" applyBorder="0" applyAlignment="0" applyProtection="0"/>
    <xf numFmtId="0" fontId="29" fillId="22" borderId="0" applyNumberFormat="0" applyBorder="0" applyAlignment="0" applyProtection="0"/>
    <xf numFmtId="0" fontId="13" fillId="0" borderId="0"/>
    <xf numFmtId="0" fontId="14" fillId="0" borderId="0"/>
    <xf numFmtId="0" fontId="2" fillId="0" borderId="0" applyBorder="0" applyAlignment="0">
      <alignment horizontal="left"/>
    </xf>
    <xf numFmtId="0" fontId="13" fillId="23" borderId="7" applyNumberFormat="0" applyFont="0" applyAlignment="0" applyProtection="0"/>
    <xf numFmtId="0" fontId="23" fillId="20" borderId="8" applyNumberFormat="0" applyAlignment="0" applyProtection="0"/>
    <xf numFmtId="9" fontId="1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26" borderId="0" applyNumberFormat="0" applyBorder="0" applyAlignment="0" applyProtection="0"/>
    <xf numFmtId="0" fontId="40" fillId="27" borderId="0" applyNumberFormat="0" applyBorder="0" applyAlignment="0" applyProtection="0"/>
    <xf numFmtId="0" fontId="41" fillId="28" borderId="18" applyNumberFormat="0" applyAlignment="0" applyProtection="0"/>
    <xf numFmtId="0" fontId="42" fillId="29" borderId="19" applyNumberFormat="0" applyAlignment="0" applyProtection="0"/>
    <xf numFmtId="0" fontId="43" fillId="29" borderId="18" applyNumberFormat="0" applyAlignment="0" applyProtection="0"/>
    <xf numFmtId="0" fontId="44" fillId="0" borderId="20" applyNumberFormat="0" applyFill="0" applyAlignment="0" applyProtection="0"/>
    <xf numFmtId="0" fontId="45" fillId="30" borderId="21" applyNumberFormat="0" applyAlignment="0" applyProtection="0"/>
    <xf numFmtId="0" fontId="46" fillId="0" borderId="0" applyNumberFormat="0" applyFill="0" applyBorder="0" applyAlignment="0" applyProtection="0"/>
    <xf numFmtId="0" fontId="47" fillId="31" borderId="22" applyNumberFormat="0" applyFont="0" applyAlignment="0" applyProtection="0"/>
    <xf numFmtId="0" fontId="48" fillId="0" borderId="0" applyNumberFormat="0" applyFill="0" applyBorder="0" applyAlignment="0" applyProtection="0"/>
    <xf numFmtId="0" fontId="49" fillId="32" borderId="0" applyNumberFormat="0" applyBorder="0" applyAlignment="0" applyProtection="0"/>
    <xf numFmtId="0" fontId="50" fillId="33" borderId="0" applyNumberFormat="0" applyBorder="0" applyAlignment="0" applyProtection="0"/>
    <xf numFmtId="0" fontId="50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50" fillId="37" borderId="0" applyNumberFormat="0" applyBorder="0" applyAlignment="0" applyProtection="0"/>
    <xf numFmtId="0" fontId="50" fillId="38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0" fontId="50" fillId="41" borderId="0" applyNumberFormat="0" applyBorder="0" applyAlignment="0" applyProtection="0"/>
    <xf numFmtId="0" fontId="50" fillId="42" borderId="0" applyNumberFormat="0" applyBorder="0" applyAlignment="0" applyProtection="0"/>
    <xf numFmtId="0" fontId="49" fillId="43" borderId="0" applyNumberFormat="0" applyBorder="0" applyAlignment="0" applyProtection="0"/>
    <xf numFmtId="0" fontId="49" fillId="44" borderId="0" applyNumberFormat="0" applyBorder="0" applyAlignment="0" applyProtection="0"/>
    <xf numFmtId="0" fontId="50" fillId="45" borderId="0" applyNumberFormat="0" applyBorder="0" applyAlignment="0" applyProtection="0"/>
    <xf numFmtId="0" fontId="50" fillId="46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0" fontId="50" fillId="49" borderId="0" applyNumberFormat="0" applyBorder="0" applyAlignment="0" applyProtection="0"/>
    <xf numFmtId="0" fontId="50" fillId="50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50" fillId="53" borderId="0" applyNumberFormat="0" applyBorder="0" applyAlignment="0" applyProtection="0"/>
    <xf numFmtId="0" fontId="50" fillId="54" borderId="0" applyNumberFormat="0" applyBorder="0" applyAlignment="0" applyProtection="0"/>
    <xf numFmtId="0" fontId="49" fillId="55" borderId="0" applyNumberFormat="0" applyBorder="0" applyAlignment="0" applyProtection="0"/>
  </cellStyleXfs>
  <cellXfs count="116">
    <xf numFmtId="0" fontId="0" fillId="0" borderId="0" xfId="0"/>
    <xf numFmtId="0" fontId="4" fillId="0" borderId="0" xfId="41" applyFont="1" applyAlignment="1" applyProtection="1"/>
    <xf numFmtId="0" fontId="4" fillId="24" borderId="0" xfId="41" applyFont="1" applyFill="1" applyAlignment="1"/>
    <xf numFmtId="0" fontId="4" fillId="24" borderId="0" xfId="41" applyFont="1" applyFill="1" applyAlignment="1" applyProtection="1"/>
    <xf numFmtId="0" fontId="4" fillId="0" borderId="0" xfId="41" applyFont="1" applyAlignment="1"/>
    <xf numFmtId="0" fontId="4" fillId="24" borderId="0" xfId="41" applyFont="1" applyFill="1" applyBorder="1" applyAlignment="1" applyProtection="1"/>
    <xf numFmtId="0" fontId="4" fillId="0" borderId="0" xfId="41" applyFont="1" applyAlignment="1" applyProtection="1">
      <protection locked="0"/>
    </xf>
    <xf numFmtId="167" fontId="4" fillId="0" borderId="0" xfId="41" applyNumberFormat="1" applyFont="1" applyBorder="1" applyAlignment="1" applyProtection="1"/>
    <xf numFmtId="4" fontId="4" fillId="0" borderId="0" xfId="41" applyNumberFormat="1" applyFont="1" applyAlignment="1" applyProtection="1"/>
    <xf numFmtId="0" fontId="7" fillId="24" borderId="0" xfId="41" applyFont="1" applyFill="1" applyBorder="1" applyAlignment="1" applyProtection="1"/>
    <xf numFmtId="0" fontId="4" fillId="24" borderId="0" xfId="41" quotePrefix="1" applyFont="1" applyFill="1" applyBorder="1" applyAlignment="1" applyProtection="1">
      <alignment horizontal="left"/>
    </xf>
    <xf numFmtId="0" fontId="4" fillId="24" borderId="0" xfId="41" applyFont="1" applyFill="1" applyBorder="1" applyAlignment="1"/>
    <xf numFmtId="0" fontId="9" fillId="25" borderId="0" xfId="41" applyFont="1" applyFill="1" applyBorder="1" applyAlignment="1" applyProtection="1">
      <alignment horizontal="center" vertical="center"/>
    </xf>
    <xf numFmtId="0" fontId="10" fillId="24" borderId="0" xfId="41" applyFont="1" applyFill="1" applyBorder="1" applyAlignment="1" applyProtection="1">
      <alignment horizontal="left" vertical="center" wrapText="1"/>
    </xf>
    <xf numFmtId="2" fontId="9" fillId="25" borderId="0" xfId="41" applyNumberFormat="1" applyFont="1" applyFill="1" applyBorder="1" applyAlignment="1" applyProtection="1">
      <alignment horizontal="center" vertical="center"/>
    </xf>
    <xf numFmtId="166" fontId="9" fillId="25" borderId="0" xfId="41" applyNumberFormat="1" applyFont="1" applyFill="1" applyBorder="1" applyAlignment="1" applyProtection="1">
      <alignment horizontal="center" vertical="center"/>
    </xf>
    <xf numFmtId="0" fontId="10" fillId="24" borderId="0" xfId="41" applyFont="1" applyFill="1" applyBorder="1" applyAlignment="1" applyProtection="1">
      <alignment horizontal="centerContinuous"/>
    </xf>
    <xf numFmtId="0" fontId="11" fillId="24" borderId="0" xfId="41" applyFont="1" applyFill="1" applyBorder="1" applyAlignment="1" applyProtection="1">
      <alignment horizontal="centerContinuous"/>
    </xf>
    <xf numFmtId="0" fontId="4" fillId="24" borderId="0" xfId="41" applyFont="1" applyFill="1" applyBorder="1" applyAlignment="1" applyProtection="1">
      <alignment horizontal="center"/>
    </xf>
    <xf numFmtId="0" fontId="4" fillId="24" borderId="0" xfId="41" applyFont="1" applyFill="1" applyBorder="1" applyAlignment="1">
      <alignment horizontal="center"/>
    </xf>
    <xf numFmtId="0" fontId="4" fillId="24" borderId="0" xfId="41" applyFont="1" applyFill="1" applyBorder="1" applyAlignment="1" applyProtection="1">
      <alignment horizontal="centerContinuous"/>
    </xf>
    <xf numFmtId="0" fontId="4" fillId="0" borderId="0" xfId="41" applyFont="1" applyFill="1" applyAlignment="1" applyProtection="1"/>
    <xf numFmtId="0" fontId="4" fillId="0" borderId="0" xfId="41" applyFont="1" applyBorder="1" applyAlignment="1" applyProtection="1"/>
    <xf numFmtId="0" fontId="4" fillId="0" borderId="0" xfId="41" applyFont="1" applyFill="1" applyAlignment="1"/>
    <xf numFmtId="169" fontId="5" fillId="25" borderId="0" xfId="44" applyNumberFormat="1" applyFont="1" applyFill="1" applyBorder="1" applyAlignment="1" applyProtection="1">
      <alignment horizontal="center" vertical="center"/>
    </xf>
    <xf numFmtId="9" fontId="4" fillId="0" borderId="0" xfId="44" applyFont="1" applyFill="1" applyAlignment="1" applyProtection="1">
      <alignment horizontal="center"/>
    </xf>
    <xf numFmtId="0" fontId="0" fillId="24" borderId="0" xfId="0" applyFill="1"/>
    <xf numFmtId="0" fontId="4" fillId="24" borderId="0" xfId="41" applyFont="1" applyFill="1" applyAlignment="1" applyProtection="1">
      <protection locked="0"/>
    </xf>
    <xf numFmtId="0" fontId="4" fillId="0" borderId="0" xfId="0" applyFont="1" applyFill="1" applyProtection="1"/>
    <xf numFmtId="0" fontId="4" fillId="0" borderId="0" xfId="0" applyFont="1" applyFill="1"/>
    <xf numFmtId="0" fontId="0" fillId="0" borderId="0" xfId="0" applyFill="1"/>
    <xf numFmtId="1" fontId="4" fillId="0" borderId="0" xfId="0" applyNumberFormat="1" applyFont="1" applyFill="1" applyAlignment="1" applyProtection="1">
      <alignment horizontal="center"/>
    </xf>
    <xf numFmtId="40" fontId="4" fillId="0" borderId="0" xfId="45" applyNumberFormat="1" applyFont="1" applyBorder="1" applyAlignment="1" applyProtection="1">
      <alignment horizontal="right"/>
    </xf>
    <xf numFmtId="0" fontId="5" fillId="0" borderId="0" xfId="0" applyFont="1" applyFill="1"/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right"/>
    </xf>
    <xf numFmtId="0" fontId="4" fillId="0" borderId="0" xfId="0" applyFont="1" applyFill="1" applyAlignment="1" applyProtection="1">
      <alignment horizontal="center"/>
    </xf>
    <xf numFmtId="0" fontId="4" fillId="0" borderId="0" xfId="0" applyFont="1" applyFill="1" applyBorder="1" applyProtection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right"/>
    </xf>
    <xf numFmtId="2" fontId="4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 applyProtection="1">
      <alignment horizontal="center"/>
    </xf>
    <xf numFmtId="1" fontId="4" fillId="0" borderId="0" xfId="0" applyNumberFormat="1" applyFont="1" applyFill="1" applyBorder="1" applyAlignment="1">
      <alignment horizontal="center"/>
    </xf>
    <xf numFmtId="168" fontId="4" fillId="0" borderId="0" xfId="0" applyNumberFormat="1" applyFont="1" applyFill="1" applyBorder="1" applyAlignment="1" applyProtection="1">
      <alignment horizontal="center"/>
    </xf>
    <xf numFmtId="170" fontId="4" fillId="0" borderId="0" xfId="28" applyNumberFormat="1" applyFont="1" applyFill="1" applyBorder="1" applyAlignment="1" applyProtection="1">
      <alignment horizontal="center"/>
    </xf>
    <xf numFmtId="0" fontId="0" fillId="0" borderId="0" xfId="0" applyBorder="1"/>
    <xf numFmtId="0" fontId="12" fillId="24" borderId="0" xfId="41" applyFont="1" applyFill="1" applyAlignment="1" applyProtection="1"/>
    <xf numFmtId="0" fontId="12" fillId="24" borderId="0" xfId="41" applyFont="1" applyFill="1" applyBorder="1" applyAlignment="1" applyProtection="1">
      <alignment horizontal="center"/>
    </xf>
    <xf numFmtId="0" fontId="12" fillId="0" borderId="0" xfId="41" applyFont="1" applyAlignment="1" applyProtection="1"/>
    <xf numFmtId="0" fontId="12" fillId="24" borderId="0" xfId="41" applyFont="1" applyFill="1" applyAlignment="1"/>
    <xf numFmtId="0" fontId="8" fillId="25" borderId="0" xfId="41" applyFont="1" applyFill="1" applyBorder="1" applyAlignment="1" applyProtection="1">
      <alignment horizontal="left"/>
    </xf>
    <xf numFmtId="0" fontId="4" fillId="25" borderId="0" xfId="41" applyFont="1" applyFill="1" applyBorder="1" applyAlignment="1" applyProtection="1"/>
    <xf numFmtId="0" fontId="4" fillId="25" borderId="0" xfId="41" applyFont="1" applyFill="1" applyAlignment="1" applyProtection="1"/>
    <xf numFmtId="3" fontId="5" fillId="25" borderId="0" xfId="44" applyNumberFormat="1" applyFont="1" applyFill="1" applyBorder="1" applyAlignment="1" applyProtection="1">
      <alignment horizontal="center" vertical="center"/>
    </xf>
    <xf numFmtId="169" fontId="5" fillId="24" borderId="0" xfId="44" applyNumberFormat="1" applyFont="1" applyFill="1" applyBorder="1" applyAlignment="1" applyProtection="1">
      <alignment horizontal="center" vertical="center"/>
    </xf>
    <xf numFmtId="4" fontId="5" fillId="24" borderId="0" xfId="44" applyNumberFormat="1" applyFont="1" applyFill="1" applyBorder="1" applyAlignment="1" applyProtection="1">
      <alignment horizontal="center" vertical="center"/>
    </xf>
    <xf numFmtId="4" fontId="6" fillId="24" borderId="0" xfId="44" applyNumberFormat="1" applyFont="1" applyFill="1" applyBorder="1" applyAlignment="1" applyProtection="1">
      <alignment horizontal="center" vertical="center"/>
    </xf>
    <xf numFmtId="167" fontId="4" fillId="24" borderId="0" xfId="41" applyNumberFormat="1" applyFont="1" applyFill="1" applyBorder="1" applyAlignment="1" applyProtection="1"/>
    <xf numFmtId="4" fontId="4" fillId="24" borderId="0" xfId="41" applyNumberFormat="1" applyFont="1" applyFill="1" applyAlignment="1" applyProtection="1"/>
    <xf numFmtId="0" fontId="4" fillId="24" borderId="0" xfId="41" applyFont="1" applyFill="1" applyAlignment="1" applyProtection="1">
      <alignment vertical="center"/>
    </xf>
    <xf numFmtId="0" fontId="12" fillId="24" borderId="0" xfId="41" applyFont="1" applyFill="1" applyAlignment="1" applyProtection="1">
      <alignment vertical="center"/>
    </xf>
    <xf numFmtId="0" fontId="4" fillId="24" borderId="0" xfId="41" applyFont="1" applyFill="1" applyAlignment="1" applyProtection="1">
      <alignment vertical="center"/>
      <protection locked="0"/>
    </xf>
    <xf numFmtId="0" fontId="4" fillId="24" borderId="0" xfId="41" applyFont="1" applyFill="1" applyBorder="1" applyAlignment="1" applyProtection="1">
      <alignment vertical="center"/>
    </xf>
    <xf numFmtId="167" fontId="4" fillId="24" borderId="0" xfId="41" applyNumberFormat="1" applyFont="1" applyFill="1" applyBorder="1" applyAlignment="1" applyProtection="1">
      <alignment vertical="center"/>
    </xf>
    <xf numFmtId="4" fontId="4" fillId="24" borderId="0" xfId="41" applyNumberFormat="1" applyFont="1" applyFill="1" applyAlignment="1" applyProtection="1">
      <alignment vertical="center"/>
    </xf>
    <xf numFmtId="0" fontId="31" fillId="24" borderId="0" xfId="41" applyFont="1" applyFill="1" applyAlignment="1" applyProtection="1">
      <alignment vertical="center"/>
    </xf>
    <xf numFmtId="0" fontId="33" fillId="24" borderId="0" xfId="41" applyFont="1" applyFill="1" applyAlignment="1" applyProtection="1"/>
    <xf numFmtId="0" fontId="51" fillId="25" borderId="23" xfId="41" applyFont="1" applyFill="1" applyBorder="1" applyAlignment="1" applyProtection="1">
      <alignment horizontal="center" vertical="center"/>
    </xf>
    <xf numFmtId="0" fontId="52" fillId="24" borderId="0" xfId="41" applyFont="1" applyFill="1" applyAlignment="1" applyProtection="1">
      <alignment vertical="center"/>
    </xf>
    <xf numFmtId="0" fontId="6" fillId="24" borderId="24" xfId="41" applyFont="1" applyFill="1" applyBorder="1" applyAlignment="1" applyProtection="1">
      <alignment horizontal="center" vertical="center" wrapText="1"/>
    </xf>
    <xf numFmtId="3" fontId="1" fillId="24" borderId="24" xfId="41" applyNumberFormat="1" applyFont="1" applyFill="1" applyBorder="1" applyAlignment="1" applyProtection="1">
      <alignment horizontal="center" vertical="center"/>
    </xf>
    <xf numFmtId="0" fontId="6" fillId="24" borderId="0" xfId="41" applyFont="1" applyFill="1" applyAlignment="1" applyProtection="1">
      <alignment vertical="center"/>
    </xf>
    <xf numFmtId="0" fontId="30" fillId="24" borderId="0" xfId="41" applyFont="1" applyFill="1" applyBorder="1" applyAlignment="1" applyProtection="1">
      <alignment vertical="center"/>
    </xf>
    <xf numFmtId="0" fontId="5" fillId="24" borderId="0" xfId="41" applyFont="1" applyFill="1" applyAlignment="1" applyProtection="1">
      <alignment vertical="center"/>
    </xf>
    <xf numFmtId="166" fontId="5" fillId="56" borderId="0" xfId="41" applyNumberFormat="1" applyFont="1" applyFill="1" applyBorder="1" applyAlignment="1" applyProtection="1">
      <alignment horizontal="center" vertical="center"/>
    </xf>
    <xf numFmtId="9" fontId="5" fillId="56" borderId="0" xfId="44" applyFont="1" applyFill="1" applyBorder="1" applyAlignment="1" applyProtection="1">
      <alignment horizontal="center" vertical="center"/>
    </xf>
    <xf numFmtId="2" fontId="54" fillId="56" borderId="24" xfId="41" applyNumberFormat="1" applyFont="1" applyFill="1" applyBorder="1" applyAlignment="1" applyProtection="1">
      <alignment horizontal="center" vertical="center"/>
    </xf>
    <xf numFmtId="0" fontId="4" fillId="57" borderId="0" xfId="41" applyFont="1" applyFill="1" applyAlignment="1" applyProtection="1"/>
    <xf numFmtId="4" fontId="55" fillId="24" borderId="24" xfId="44" applyNumberFormat="1" applyFont="1" applyFill="1" applyBorder="1" applyAlignment="1" applyProtection="1">
      <alignment horizontal="center" vertical="center"/>
    </xf>
    <xf numFmtId="0" fontId="6" fillId="58" borderId="24" xfId="41" applyFont="1" applyFill="1" applyBorder="1" applyAlignment="1" applyProtection="1">
      <alignment horizontal="center" vertical="center" wrapText="1"/>
    </xf>
    <xf numFmtId="168" fontId="57" fillId="56" borderId="24" xfId="41" applyNumberFormat="1" applyFont="1" applyFill="1" applyBorder="1" applyAlignment="1" applyProtection="1">
      <alignment horizontal="center" vertical="center"/>
    </xf>
    <xf numFmtId="3" fontId="6" fillId="24" borderId="24" xfId="41" applyNumberFormat="1" applyFont="1" applyFill="1" applyBorder="1" applyAlignment="1" applyProtection="1">
      <alignment horizontal="center" vertical="center"/>
    </xf>
    <xf numFmtId="169" fontId="57" fillId="25" borderId="24" xfId="44" applyNumberFormat="1" applyFont="1" applyFill="1" applyBorder="1" applyAlignment="1" applyProtection="1">
      <alignment horizontal="center" vertical="center"/>
    </xf>
    <xf numFmtId="3" fontId="58" fillId="25" borderId="24" xfId="44" applyNumberFormat="1" applyFont="1" applyFill="1" applyBorder="1" applyAlignment="1" applyProtection="1">
      <alignment horizontal="center" vertical="center"/>
    </xf>
    <xf numFmtId="0" fontId="56" fillId="56" borderId="24" xfId="41" applyFont="1" applyFill="1" applyBorder="1" applyAlignment="1" applyProtection="1">
      <alignment horizontal="center" vertical="center"/>
    </xf>
    <xf numFmtId="0" fontId="32" fillId="25" borderId="0" xfId="41" applyFont="1" applyFill="1" applyBorder="1" applyAlignment="1" applyProtection="1">
      <alignment horizontal="left" vertical="center"/>
    </xf>
    <xf numFmtId="0" fontId="4" fillId="0" borderId="0" xfId="41" applyFont="1" applyAlignment="1" applyProtection="1">
      <alignment vertical="center"/>
    </xf>
    <xf numFmtId="0" fontId="0" fillId="24" borderId="0" xfId="0" applyFill="1" applyAlignment="1">
      <alignment vertical="center"/>
    </xf>
    <xf numFmtId="0" fontId="6" fillId="59" borderId="0" xfId="41" applyFont="1" applyFill="1" applyAlignment="1" applyProtection="1">
      <alignment vertical="center"/>
    </xf>
    <xf numFmtId="0" fontId="5" fillId="58" borderId="0" xfId="41" applyFont="1" applyFill="1" applyAlignment="1" applyProtection="1">
      <alignment vertical="center"/>
    </xf>
    <xf numFmtId="0" fontId="6" fillId="58" borderId="0" xfId="41" applyFont="1" applyFill="1" applyAlignment="1" applyProtection="1">
      <alignment vertical="center"/>
    </xf>
    <xf numFmtId="0" fontId="6" fillId="60" borderId="0" xfId="41" applyFont="1" applyFill="1" applyAlignment="1" applyProtection="1">
      <alignment vertical="center"/>
    </xf>
    <xf numFmtId="0" fontId="4" fillId="60" borderId="0" xfId="41" applyFont="1" applyFill="1" applyAlignment="1" applyProtection="1">
      <alignment vertical="center"/>
    </xf>
    <xf numFmtId="0" fontId="4" fillId="59" borderId="0" xfId="41" applyFont="1" applyFill="1" applyAlignment="1" applyProtection="1">
      <alignment vertical="center"/>
    </xf>
    <xf numFmtId="0" fontId="34" fillId="24" borderId="0" xfId="41" applyFont="1" applyFill="1" applyAlignment="1" applyProtection="1">
      <alignment vertical="center"/>
    </xf>
    <xf numFmtId="0" fontId="1" fillId="24" borderId="0" xfId="41" applyFont="1" applyFill="1" applyAlignment="1" applyProtection="1">
      <alignment vertical="center"/>
    </xf>
    <xf numFmtId="2" fontId="5" fillId="57" borderId="0" xfId="41" applyNumberFormat="1" applyFont="1" applyFill="1" applyBorder="1" applyAlignment="1" applyProtection="1">
      <alignment horizontal="center" vertical="center"/>
    </xf>
    <xf numFmtId="9" fontId="6" fillId="24" borderId="24" xfId="44" applyFont="1" applyFill="1" applyBorder="1" applyAlignment="1" applyProtection="1">
      <alignment horizontal="center" vertical="center"/>
    </xf>
    <xf numFmtId="4" fontId="6" fillId="24" borderId="24" xfId="44" applyNumberFormat="1" applyFont="1" applyFill="1" applyBorder="1" applyAlignment="1" applyProtection="1">
      <alignment horizontal="center" vertical="center"/>
    </xf>
    <xf numFmtId="167" fontId="5" fillId="24" borderId="0" xfId="44" applyNumberFormat="1" applyFont="1" applyFill="1" applyBorder="1" applyAlignment="1" applyProtection="1">
      <alignment horizontal="center" vertical="center"/>
    </xf>
    <xf numFmtId="0" fontId="6" fillId="24" borderId="10" xfId="41" applyFont="1" applyFill="1" applyBorder="1" applyAlignment="1" applyProtection="1">
      <alignment vertical="center" wrapText="1"/>
    </xf>
    <xf numFmtId="0" fontId="6" fillId="24" borderId="14" xfId="41" applyFont="1" applyFill="1" applyBorder="1" applyAlignment="1" applyProtection="1">
      <alignment vertical="center" wrapText="1"/>
    </xf>
    <xf numFmtId="0" fontId="6" fillId="24" borderId="11" xfId="41" applyFont="1" applyFill="1" applyBorder="1" applyAlignment="1" applyProtection="1">
      <alignment vertical="center" wrapText="1"/>
    </xf>
    <xf numFmtId="0" fontId="4" fillId="24" borderId="10" xfId="41" applyFont="1" applyFill="1" applyBorder="1" applyAlignment="1" applyProtection="1">
      <alignment horizontal="center"/>
    </xf>
    <xf numFmtId="0" fontId="4" fillId="24" borderId="11" xfId="41" applyFont="1" applyFill="1" applyBorder="1" applyAlignment="1" applyProtection="1">
      <alignment horizontal="center"/>
    </xf>
    <xf numFmtId="0" fontId="6" fillId="24" borderId="10" xfId="41" applyFont="1" applyFill="1" applyBorder="1" applyAlignment="1" applyProtection="1">
      <alignment horizontal="center" vertical="center"/>
    </xf>
    <xf numFmtId="0" fontId="6" fillId="24" borderId="14" xfId="41" applyFont="1" applyFill="1" applyBorder="1" applyAlignment="1" applyProtection="1">
      <alignment horizontal="center" vertical="center"/>
    </xf>
    <xf numFmtId="0" fontId="6" fillId="24" borderId="11" xfId="41" applyFont="1" applyFill="1" applyBorder="1" applyAlignment="1" applyProtection="1">
      <alignment horizontal="center" vertical="center"/>
    </xf>
    <xf numFmtId="0" fontId="6" fillId="59" borderId="12" xfId="41" applyFont="1" applyFill="1" applyBorder="1" applyAlignment="1" applyProtection="1">
      <alignment horizontal="center" vertical="center" wrapText="1"/>
    </xf>
    <xf numFmtId="0" fontId="6" fillId="59" borderId="13" xfId="41" applyFont="1" applyFill="1" applyBorder="1" applyAlignment="1" applyProtection="1">
      <alignment horizontal="center" vertical="center" wrapText="1"/>
    </xf>
    <xf numFmtId="0" fontId="6" fillId="61" borderId="12" xfId="41" applyFont="1" applyFill="1" applyBorder="1" applyAlignment="1" applyProtection="1">
      <alignment horizontal="center" vertical="center" wrapText="1"/>
    </xf>
    <xf numFmtId="0" fontId="6" fillId="61" borderId="13" xfId="41" applyFont="1" applyFill="1" applyBorder="1" applyAlignment="1" applyProtection="1">
      <alignment horizontal="center" vertical="center" wrapText="1"/>
    </xf>
    <xf numFmtId="2" fontId="53" fillId="24" borderId="9" xfId="41" applyNumberFormat="1" applyFont="1" applyFill="1" applyBorder="1" applyAlignment="1" applyProtection="1">
      <alignment vertical="top" wrapText="1"/>
    </xf>
  </cellXfs>
  <cellStyles count="87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Ênfase1" xfId="64" builtinId="30" hidden="1"/>
    <cellStyle name="20% - Ênfase2" xfId="68" builtinId="34" hidden="1"/>
    <cellStyle name="20% - Ênfase3" xfId="72" builtinId="38" hidden="1"/>
    <cellStyle name="20% - Ênfase4" xfId="76" builtinId="42" hidden="1"/>
    <cellStyle name="20% - Ênfase5" xfId="80" builtinId="46" hidden="1"/>
    <cellStyle name="20% - Ênfase6" xfId="84" builtinId="50" hidden="1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40% - Ênfase1" xfId="65" builtinId="31" hidden="1"/>
    <cellStyle name="40% - Ênfase2" xfId="69" builtinId="35" hidden="1"/>
    <cellStyle name="40% - Ênfase3" xfId="73" builtinId="39" hidden="1"/>
    <cellStyle name="40% - Ênfase4" xfId="77" builtinId="43" hidden="1"/>
    <cellStyle name="40% - Ênfase5" xfId="81" builtinId="47" hidden="1"/>
    <cellStyle name="40% - Ênfase6" xfId="85" builtinId="51" hidden="1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60% - Ênfase1" xfId="66" builtinId="32" hidden="1"/>
    <cellStyle name="60% - Ênfase2" xfId="70" builtinId="36" hidden="1"/>
    <cellStyle name="60% - Ênfase3" xfId="74" builtinId="40" hidden="1"/>
    <cellStyle name="60% - Ênfase4" xfId="78" builtinId="44" hidden="1"/>
    <cellStyle name="60% - Ênfase5" xfId="82" builtinId="48" hidden="1"/>
    <cellStyle name="60% - Ênfase6" xfId="86" builtinId="52" hidden="1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Bom" xfId="53" builtinId="26" hidden="1"/>
    <cellStyle name="Calculation" xfId="26"/>
    <cellStyle name="Cálculo" xfId="57" builtinId="22" hidden="1"/>
    <cellStyle name="Célula de Verificação" xfId="59" builtinId="23" hidden="1"/>
    <cellStyle name="Célula Vinculada" xfId="58" builtinId="24" hidden="1"/>
    <cellStyle name="Check Cell" xfId="27"/>
    <cellStyle name="Comma" xfId="28"/>
    <cellStyle name="Ênfase1" xfId="63" builtinId="29" hidden="1"/>
    <cellStyle name="Ênfase2" xfId="67" builtinId="33" hidden="1"/>
    <cellStyle name="Ênfase3" xfId="71" builtinId="37" hidden="1"/>
    <cellStyle name="Ênfase4" xfId="75" builtinId="41" hidden="1"/>
    <cellStyle name="Ênfase5" xfId="79" builtinId="45" hidden="1"/>
    <cellStyle name="Ênfase6" xfId="83" builtinId="49" hidden="1"/>
    <cellStyle name="Entrada" xfId="55" builtinId="20" hidden="1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Incorreto" xfId="54" builtinId="27" hidden="1"/>
    <cellStyle name="Input" xfId="35"/>
    <cellStyle name="Linked Cell" xfId="36"/>
    <cellStyle name="Millares 2" xfId="37"/>
    <cellStyle name="Neutra" xfId="38"/>
    <cellStyle name="Normal" xfId="0" builtinId="0"/>
    <cellStyle name="Normal 2" xfId="39"/>
    <cellStyle name="Normal 6" xfId="40"/>
    <cellStyle name="Normal_RedeBasicaP10beta" xfId="41"/>
    <cellStyle name="Nota" xfId="61" builtinId="10" hidden="1"/>
    <cellStyle name="Note" xfId="42"/>
    <cellStyle name="Output" xfId="43"/>
    <cellStyle name="Porcentagem" xfId="44" builtinId="5"/>
    <cellStyle name="Saída" xfId="56" builtinId="21" hidden="1"/>
    <cellStyle name="Separador de milhares_RedeBasicaP10beta" xfId="45"/>
    <cellStyle name="Texto de Aviso" xfId="60" builtinId="11" hidden="1"/>
    <cellStyle name="Texto Explicativo" xfId="62" builtinId="53" hidden="1"/>
    <cellStyle name="Title" xfId="46"/>
    <cellStyle name="Título" xfId="48" builtinId="15" hidden="1"/>
    <cellStyle name="Título 1" xfId="49" builtinId="16" hidden="1"/>
    <cellStyle name="Título 2" xfId="50" builtinId="17" hidden="1"/>
    <cellStyle name="Título 3" xfId="51" builtinId="18" hidden="1"/>
    <cellStyle name="Título 4" xfId="52" builtinId="19" hidden="1"/>
    <cellStyle name="Warning Text" xfId="47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5050"/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372341</xdr:colOff>
      <xdr:row>5</xdr:row>
      <xdr:rowOff>164523</xdr:rowOff>
    </xdr:from>
    <xdr:to>
      <xdr:col>11</xdr:col>
      <xdr:colOff>467591</xdr:colOff>
      <xdr:row>18</xdr:row>
      <xdr:rowOff>121227</xdr:rowOff>
    </xdr:to>
    <xdr:cxnSp macro="">
      <xdr:nvCxnSpPr>
        <xdr:cNvPr id="7" name="Conector angulado 6"/>
        <xdr:cNvCxnSpPr/>
      </xdr:nvCxnSpPr>
      <xdr:spPr bwMode="auto">
        <a:xfrm flipV="1">
          <a:off x="3065318" y="1593273"/>
          <a:ext cx="6459682" cy="3151909"/>
        </a:xfrm>
        <a:prstGeom prst="bentConnector3">
          <a:avLst>
            <a:gd name="adj1" fmla="val 67989"/>
          </a:avLst>
        </a:prstGeom>
        <a:ln w="19050">
          <a:headEnd type="oval" w="med" len="med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6</xdr:row>
      <xdr:rowOff>25980</xdr:rowOff>
    </xdr:from>
    <xdr:to>
      <xdr:col>10</xdr:col>
      <xdr:colOff>381000</xdr:colOff>
      <xdr:row>21</xdr:row>
      <xdr:rowOff>147205</xdr:rowOff>
    </xdr:to>
    <xdr:cxnSp macro="">
      <xdr:nvCxnSpPr>
        <xdr:cNvPr id="14" name="Conector angulado 13"/>
        <xdr:cNvCxnSpPr/>
      </xdr:nvCxnSpPr>
      <xdr:spPr bwMode="auto">
        <a:xfrm flipV="1">
          <a:off x="3073977" y="1861707"/>
          <a:ext cx="5671705" cy="3428998"/>
        </a:xfrm>
        <a:prstGeom prst="bentConnector3">
          <a:avLst>
            <a:gd name="adj1" fmla="val 87252"/>
          </a:avLst>
        </a:prstGeom>
        <a:ln w="19050">
          <a:solidFill>
            <a:schemeClr val="accent6">
              <a:lumMod val="50000"/>
            </a:schemeClr>
          </a:solidFill>
          <a:headEnd type="oval" w="med" len="med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377536</xdr:colOff>
      <xdr:row>5</xdr:row>
      <xdr:rowOff>285750</xdr:rowOff>
    </xdr:from>
    <xdr:to>
      <xdr:col>14</xdr:col>
      <xdr:colOff>545523</xdr:colOff>
      <xdr:row>20</xdr:row>
      <xdr:rowOff>91787</xdr:rowOff>
    </xdr:to>
    <xdr:cxnSp macro="">
      <xdr:nvCxnSpPr>
        <xdr:cNvPr id="18" name="Conector angulado 17"/>
        <xdr:cNvCxnSpPr/>
      </xdr:nvCxnSpPr>
      <xdr:spPr bwMode="auto">
        <a:xfrm flipV="1">
          <a:off x="3070513" y="1714500"/>
          <a:ext cx="9104169" cy="3356264"/>
        </a:xfrm>
        <a:prstGeom prst="bentConnector3">
          <a:avLst>
            <a:gd name="adj1" fmla="val 48874"/>
          </a:avLst>
        </a:prstGeom>
        <a:ln w="19050">
          <a:solidFill>
            <a:srgbClr val="00B050"/>
          </a:solidFill>
          <a:headEnd type="oval" w="med" len="med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676"/>
  <sheetViews>
    <sheetView tabSelected="1" topLeftCell="B4" zoomScale="80" zoomScaleNormal="80" workbookViewId="0">
      <selection activeCell="R13" sqref="R13"/>
    </sheetView>
  </sheetViews>
  <sheetFormatPr defaultColWidth="8" defaultRowHeight="9.75" x14ac:dyDescent="0.15"/>
  <cols>
    <col min="1" max="1" width="6.5703125" style="1" customWidth="1"/>
    <col min="2" max="2" width="14.5703125" style="21" customWidth="1"/>
    <col min="3" max="3" width="9.5703125" style="21" customWidth="1"/>
    <col min="4" max="4" width="9.5703125" style="1" customWidth="1"/>
    <col min="5" max="5" width="19.5703125" style="1" customWidth="1"/>
    <col min="6" max="6" width="14.140625" style="1" customWidth="1"/>
    <col min="7" max="7" width="13" style="1" customWidth="1"/>
    <col min="8" max="8" width="11.7109375" style="1" customWidth="1"/>
    <col min="9" max="9" width="8.7109375" style="1" customWidth="1"/>
    <col min="10" max="10" width="8" style="1" customWidth="1"/>
    <col min="11" max="11" width="12.140625" style="1" customWidth="1"/>
    <col min="12" max="12" width="11.7109375" style="1" customWidth="1"/>
    <col min="13" max="13" width="13.28515625" style="1" customWidth="1"/>
    <col min="14" max="14" width="13.5703125" style="1" customWidth="1"/>
    <col min="15" max="15" width="15.140625" style="1" customWidth="1"/>
    <col min="16" max="16" width="14.28515625" style="1" customWidth="1"/>
    <col min="17" max="17" width="11.7109375" style="1" customWidth="1"/>
    <col min="18" max="18" width="7.7109375" style="1" bestFit="1" customWidth="1"/>
    <col min="19" max="19" width="11.7109375" style="1" customWidth="1"/>
    <col min="20" max="20" width="14.7109375" style="1" customWidth="1"/>
    <col min="21" max="21" width="15.5703125" style="1" customWidth="1"/>
    <col min="22" max="22" width="15.42578125" style="1" customWidth="1"/>
    <col min="23" max="23" width="11.85546875" style="1" customWidth="1"/>
    <col min="24" max="24" width="11" style="1" customWidth="1"/>
    <col min="25" max="25" width="13.7109375" style="51" customWidth="1"/>
    <col min="26" max="26" width="12.5703125" style="1" customWidth="1"/>
    <col min="27" max="27" width="10.85546875" style="1" bestFit="1" customWidth="1"/>
    <col min="28" max="28" width="11.42578125" style="51" customWidth="1"/>
    <col min="29" max="32" width="10.85546875" style="6" customWidth="1"/>
    <col min="33" max="33" width="1.85546875" style="6" customWidth="1"/>
    <col min="34" max="34" width="10.85546875" style="6" customWidth="1"/>
    <col min="35" max="35" width="12.140625" style="6" customWidth="1"/>
    <col min="36" max="37" width="11.7109375" style="1" customWidth="1"/>
    <col min="38" max="39" width="11.7109375" style="1" hidden="1" customWidth="1"/>
    <col min="40" max="40" width="11.7109375" style="1" customWidth="1"/>
    <col min="41" max="41" width="11.5703125" style="1" customWidth="1"/>
    <col min="42" max="42" width="11.5703125" style="22" bestFit="1" customWidth="1"/>
    <col min="43" max="43" width="9.7109375" style="22" bestFit="1" customWidth="1"/>
    <col min="44" max="44" width="9.42578125" style="22" customWidth="1"/>
    <col min="45" max="46" width="9.28515625" style="22" customWidth="1"/>
    <col min="47" max="47" width="9.85546875" style="22" customWidth="1"/>
    <col min="48" max="48" width="6.85546875" style="1" customWidth="1"/>
    <col min="49" max="49" width="8.7109375" style="1" customWidth="1"/>
    <col min="50" max="50" width="9.28515625" style="6" customWidth="1"/>
    <col min="51" max="51" width="8.85546875" style="6" customWidth="1"/>
    <col min="52" max="54" width="9" style="6" customWidth="1"/>
    <col min="55" max="55" width="8.28515625" style="6" customWidth="1"/>
    <col min="56" max="58" width="9.28515625" style="6" customWidth="1"/>
    <col min="59" max="59" width="7.42578125" style="6" customWidth="1"/>
    <col min="60" max="60" width="8" style="6" customWidth="1"/>
    <col min="61" max="61" width="6.85546875" style="6" customWidth="1"/>
    <col min="62" max="62" width="7.5703125" style="6" customWidth="1"/>
    <col min="63" max="63" width="6.7109375" style="6" customWidth="1"/>
    <col min="64" max="64" width="6.28515625" style="6" customWidth="1"/>
    <col min="65" max="65" width="7" style="6" customWidth="1"/>
    <col min="66" max="66" width="7.5703125" style="6" customWidth="1"/>
    <col min="67" max="67" width="6.28515625" style="6" customWidth="1"/>
    <col min="68" max="68" width="6.7109375" style="6" customWidth="1"/>
    <col min="69" max="69" width="6.85546875" style="6" customWidth="1"/>
    <col min="70" max="70" width="8.85546875" style="6" customWidth="1"/>
    <col min="71" max="73" width="6.85546875" style="1" customWidth="1"/>
    <col min="74" max="74" width="8.7109375" style="1" customWidth="1"/>
    <col min="75" max="75" width="8.5703125" style="1" customWidth="1"/>
    <col min="76" max="112" width="6.85546875" style="1" customWidth="1"/>
    <col min="113" max="113" width="26.5703125" style="1" customWidth="1"/>
    <col min="114" max="115" width="8" style="1" customWidth="1"/>
    <col min="116" max="116" width="20.85546875" style="1" customWidth="1"/>
    <col min="117" max="118" width="8" style="1" customWidth="1"/>
    <col min="119" max="119" width="23.7109375" style="1" customWidth="1"/>
    <col min="120" max="121" width="8" style="1" customWidth="1"/>
    <col min="122" max="122" width="22" style="1" customWidth="1"/>
    <col min="123" max="123" width="8" style="1" customWidth="1"/>
    <col min="124" max="124" width="8.140625" style="7" bestFit="1" customWidth="1"/>
    <col min="125" max="125" width="6.85546875" style="8" customWidth="1"/>
    <col min="126" max="16384" width="8" style="1"/>
  </cols>
  <sheetData>
    <row r="1" spans="1:125" s="3" customFormat="1" ht="25.5" customHeight="1" x14ac:dyDescent="0.15">
      <c r="B1" s="68" t="s">
        <v>31</v>
      </c>
      <c r="Y1" s="49"/>
      <c r="AB1" s="49"/>
      <c r="AC1" s="27"/>
      <c r="AD1" s="27"/>
      <c r="AE1" s="27"/>
      <c r="AF1" s="27"/>
      <c r="AG1" s="27"/>
      <c r="AH1" s="27"/>
      <c r="AI1" s="27"/>
      <c r="AP1" s="5"/>
      <c r="AQ1" s="5"/>
      <c r="AR1" s="5"/>
      <c r="AS1" s="5"/>
      <c r="AT1" s="5"/>
      <c r="AU1" s="5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DT1" s="60"/>
      <c r="DU1" s="61"/>
    </row>
    <row r="2" spans="1:125" s="62" customFormat="1" ht="22.5" customHeight="1" x14ac:dyDescent="0.2">
      <c r="B2" s="68" t="s">
        <v>32</v>
      </c>
      <c r="Y2" s="63"/>
      <c r="AB2" s="63"/>
      <c r="AC2" s="64"/>
      <c r="AD2" s="64"/>
      <c r="AE2" s="64"/>
      <c r="AF2" s="64"/>
      <c r="AG2" s="64"/>
      <c r="AH2" s="64"/>
      <c r="AI2" s="64"/>
      <c r="AP2" s="65"/>
      <c r="AQ2" s="65"/>
      <c r="AR2" s="65"/>
      <c r="AS2" s="65"/>
      <c r="AT2" s="65"/>
      <c r="AU2" s="65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DT2" s="66"/>
      <c r="DU2" s="67"/>
    </row>
    <row r="3" spans="1:125" s="62" customFormat="1" ht="22.5" customHeight="1" x14ac:dyDescent="0.2">
      <c r="B3" s="71"/>
      <c r="Y3" s="63"/>
      <c r="AB3" s="63"/>
      <c r="AC3" s="64"/>
      <c r="AD3" s="64"/>
      <c r="AE3" s="64"/>
      <c r="AF3" s="64"/>
      <c r="AG3" s="64"/>
      <c r="AH3" s="64"/>
      <c r="AI3" s="64"/>
      <c r="AP3" s="65"/>
      <c r="AQ3" s="65"/>
      <c r="AR3" s="65"/>
      <c r="AS3" s="65"/>
      <c r="AT3" s="65"/>
      <c r="AU3" s="65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DT3" s="66"/>
      <c r="DU3" s="67"/>
    </row>
    <row r="4" spans="1:125" x14ac:dyDescent="0.15">
      <c r="A4" s="5"/>
      <c r="B4" s="10"/>
      <c r="C4" s="10"/>
      <c r="D4" s="5"/>
      <c r="E4" s="3"/>
      <c r="F4" s="3"/>
      <c r="G4" s="3"/>
      <c r="H4" s="3"/>
      <c r="I4" s="3"/>
      <c r="J4" s="3"/>
      <c r="K4" s="62"/>
      <c r="L4" s="62"/>
      <c r="M4" s="62"/>
      <c r="N4" s="62"/>
      <c r="O4" s="62"/>
      <c r="P4" s="3"/>
      <c r="Q4" s="3"/>
      <c r="R4" s="3"/>
      <c r="S4" s="3"/>
      <c r="T4" s="3"/>
      <c r="U4" s="3"/>
      <c r="V4" s="3"/>
      <c r="W4" s="3"/>
      <c r="X4" s="3"/>
      <c r="Y4" s="49"/>
      <c r="Z4" s="3"/>
      <c r="AA4" s="3"/>
      <c r="AB4" s="49"/>
      <c r="AC4" s="5"/>
      <c r="AD4" s="5"/>
      <c r="AE4" s="5"/>
      <c r="AF4" s="5"/>
      <c r="AG4" s="5"/>
      <c r="AH4" s="5"/>
      <c r="AI4" s="5"/>
      <c r="AJ4" s="3"/>
      <c r="AK4" s="3"/>
      <c r="AL4" s="3"/>
      <c r="AM4" s="3"/>
      <c r="AN4" s="3"/>
      <c r="AO4" s="3"/>
      <c r="AP4" s="5"/>
      <c r="AQ4" s="5"/>
      <c r="AR4" s="5"/>
      <c r="AS4" s="5"/>
      <c r="AT4" s="5"/>
      <c r="AU4" s="5"/>
    </row>
    <row r="5" spans="1:125" ht="33" customHeight="1" x14ac:dyDescent="0.2">
      <c r="A5" s="5"/>
      <c r="B5" s="88" t="s">
        <v>38</v>
      </c>
      <c r="C5" s="53"/>
      <c r="D5" s="54"/>
      <c r="E5" s="55"/>
      <c r="F5" s="3"/>
      <c r="G5" s="3"/>
      <c r="H5" s="26"/>
      <c r="I5" s="26"/>
      <c r="J5" s="3"/>
      <c r="K5" s="103" t="s">
        <v>33</v>
      </c>
      <c r="L5" s="104"/>
      <c r="M5" s="104"/>
      <c r="N5" s="104"/>
      <c r="O5" s="105"/>
      <c r="P5" s="3"/>
      <c r="Q5" s="3"/>
      <c r="R5" s="3"/>
      <c r="S5" s="3"/>
      <c r="T5" s="3"/>
      <c r="U5" s="3"/>
      <c r="V5" s="3"/>
      <c r="W5" s="3"/>
      <c r="X5" s="3"/>
      <c r="Y5" s="49"/>
      <c r="Z5" s="3"/>
      <c r="AA5" s="3"/>
      <c r="AB5" s="49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5"/>
      <c r="AQ5" s="5"/>
      <c r="AR5" s="5"/>
      <c r="AS5" s="5"/>
      <c r="AT5" s="5"/>
      <c r="AU5" s="5"/>
    </row>
    <row r="6" spans="1:125" ht="32.25" customHeight="1" x14ac:dyDescent="0.2">
      <c r="A6" s="3"/>
      <c r="B6" s="75" t="s">
        <v>39</v>
      </c>
      <c r="C6" s="9"/>
      <c r="D6" s="5"/>
      <c r="E6" s="3"/>
      <c r="F6" s="74" t="s">
        <v>40</v>
      </c>
      <c r="G6" s="3"/>
      <c r="H6" s="3"/>
      <c r="I6" s="3"/>
      <c r="J6" s="3"/>
      <c r="K6" s="80"/>
      <c r="L6" s="80"/>
      <c r="M6" s="80"/>
      <c r="N6" s="80"/>
      <c r="O6" s="80"/>
      <c r="P6" s="3"/>
      <c r="Q6" s="3"/>
      <c r="R6" s="3"/>
      <c r="S6" s="3"/>
      <c r="T6" s="3"/>
      <c r="U6" s="5"/>
      <c r="V6" s="3"/>
      <c r="W6" s="3"/>
      <c r="X6" s="3"/>
      <c r="Y6" s="49"/>
      <c r="Z6" s="5"/>
      <c r="AA6" s="3"/>
      <c r="AB6" s="49"/>
      <c r="AC6" s="11"/>
      <c r="AD6" s="11"/>
      <c r="AE6" s="11"/>
      <c r="AF6" s="11"/>
      <c r="AG6" s="11"/>
      <c r="AH6" s="11"/>
      <c r="AI6" s="11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125" ht="10.5" thickBot="1" x14ac:dyDescent="0.2">
      <c r="A7" s="3"/>
      <c r="B7" s="11"/>
      <c r="C7" s="11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49"/>
      <c r="Z7" s="3"/>
      <c r="AA7" s="3"/>
      <c r="AB7" s="49"/>
      <c r="AC7" s="27"/>
      <c r="AD7" s="27"/>
      <c r="AE7" s="11"/>
      <c r="AF7" s="11"/>
      <c r="AG7" s="11"/>
      <c r="AH7" s="27"/>
      <c r="AI7" s="27"/>
      <c r="AJ7" s="3"/>
      <c r="AK7" s="3"/>
      <c r="AL7" s="3"/>
      <c r="AM7" s="3"/>
      <c r="AN7" s="3"/>
      <c r="AO7" s="3"/>
      <c r="AP7" s="5"/>
      <c r="AQ7" s="5"/>
      <c r="AR7" s="5"/>
      <c r="AS7" s="5"/>
      <c r="AT7" s="5"/>
      <c r="AU7" s="5"/>
    </row>
    <row r="8" spans="1:125" ht="15" customHeight="1" thickBot="1" x14ac:dyDescent="0.2">
      <c r="A8" s="3"/>
      <c r="B8" s="98" t="s">
        <v>41</v>
      </c>
      <c r="C8" s="76"/>
      <c r="D8" s="70">
        <v>200</v>
      </c>
      <c r="E8" s="13" t="s">
        <v>42</v>
      </c>
      <c r="F8" s="98" t="s">
        <v>46</v>
      </c>
      <c r="G8" s="76"/>
      <c r="H8" s="77">
        <v>1</v>
      </c>
      <c r="I8" s="13" t="s">
        <v>2</v>
      </c>
      <c r="J8" s="3"/>
      <c r="K8" s="111" t="s">
        <v>34</v>
      </c>
      <c r="L8" s="108" t="s">
        <v>43</v>
      </c>
      <c r="M8" s="109"/>
      <c r="N8" s="110"/>
      <c r="O8" s="113" t="s">
        <v>61</v>
      </c>
      <c r="P8" s="3"/>
      <c r="Q8" s="3"/>
      <c r="R8" s="3"/>
      <c r="S8" s="3"/>
      <c r="T8" s="3"/>
      <c r="U8" s="3"/>
      <c r="V8" s="3"/>
      <c r="W8" s="3"/>
      <c r="X8" s="3"/>
      <c r="Y8" s="49"/>
      <c r="Z8" s="3"/>
      <c r="AA8" s="3"/>
      <c r="AB8" s="49"/>
      <c r="AC8" s="27"/>
      <c r="AD8" s="27"/>
      <c r="AE8" s="11"/>
      <c r="AF8" s="11"/>
      <c r="AG8" s="11"/>
      <c r="AH8" s="27"/>
      <c r="AI8" s="27"/>
      <c r="AJ8" s="3"/>
      <c r="AK8" s="3"/>
      <c r="AL8" s="3"/>
      <c r="AM8" s="3"/>
      <c r="AN8" s="3"/>
      <c r="AO8" s="3"/>
      <c r="AP8" s="5"/>
      <c r="AQ8" s="5"/>
      <c r="AR8" s="5"/>
      <c r="AS8" s="5"/>
      <c r="AT8" s="5"/>
      <c r="AU8" s="5"/>
    </row>
    <row r="9" spans="1:125" ht="46.5" customHeight="1" x14ac:dyDescent="0.15">
      <c r="A9" s="3"/>
      <c r="B9" s="98" t="s">
        <v>44</v>
      </c>
      <c r="C9" s="76"/>
      <c r="D9" s="15">
        <v>5</v>
      </c>
      <c r="E9" s="13" t="s">
        <v>29</v>
      </c>
      <c r="F9" s="98" t="s">
        <v>47</v>
      </c>
      <c r="G9" s="76"/>
      <c r="H9" s="78">
        <v>0.75</v>
      </c>
      <c r="I9" s="13" t="s">
        <v>1</v>
      </c>
      <c r="J9" s="80"/>
      <c r="K9" s="112"/>
      <c r="L9" s="82" t="s">
        <v>3</v>
      </c>
      <c r="M9" s="72" t="s">
        <v>35</v>
      </c>
      <c r="N9" s="72" t="s">
        <v>36</v>
      </c>
      <c r="O9" s="114"/>
      <c r="P9" s="3"/>
      <c r="Q9" s="3"/>
      <c r="R9" s="3"/>
      <c r="S9" s="3"/>
      <c r="T9" s="3"/>
      <c r="U9" s="3"/>
      <c r="V9" s="3"/>
      <c r="W9" s="3"/>
      <c r="X9" s="3"/>
      <c r="Y9" s="49"/>
      <c r="Z9" s="3"/>
      <c r="AA9" s="3"/>
      <c r="AB9" s="49"/>
      <c r="AC9" s="27"/>
      <c r="AD9" s="27"/>
      <c r="AE9" s="11"/>
      <c r="AF9" s="11"/>
      <c r="AG9" s="11"/>
      <c r="AH9" s="27"/>
      <c r="AI9" s="27"/>
      <c r="AJ9" s="3"/>
      <c r="AK9" s="3"/>
      <c r="AL9" s="3"/>
      <c r="AM9" s="3"/>
      <c r="AN9" s="3"/>
      <c r="AO9" s="3"/>
      <c r="AP9" s="5"/>
      <c r="AQ9" s="5"/>
      <c r="AR9" s="5"/>
      <c r="AS9" s="5"/>
      <c r="AT9" s="5"/>
      <c r="AU9" s="5"/>
    </row>
    <row r="10" spans="1:125" ht="15" customHeight="1" x14ac:dyDescent="0.15">
      <c r="A10" s="3"/>
      <c r="B10" s="98" t="s">
        <v>45</v>
      </c>
      <c r="C10" s="76"/>
      <c r="D10" s="14">
        <v>0.8</v>
      </c>
      <c r="E10" s="13"/>
      <c r="F10" s="98" t="s">
        <v>48</v>
      </c>
      <c r="G10" s="76"/>
      <c r="H10" s="99">
        <v>1.5</v>
      </c>
      <c r="I10" s="13" t="s">
        <v>3</v>
      </c>
      <c r="J10" s="80"/>
      <c r="K10" s="87">
        <v>100</v>
      </c>
      <c r="L10" s="79"/>
      <c r="M10" s="73">
        <f>IFERROR(N10*$D$9,0)</f>
        <v>0</v>
      </c>
      <c r="N10" s="84">
        <f>IFERROR(L10/($D$8*$D$9*$D$10*$D$11*$D$12/86400),0)</f>
        <v>0</v>
      </c>
      <c r="O10" s="83"/>
      <c r="P10" s="3"/>
      <c r="Q10" s="3"/>
      <c r="R10" s="3"/>
      <c r="S10" s="3"/>
      <c r="T10" s="3"/>
      <c r="U10" s="3"/>
      <c r="V10" s="3"/>
      <c r="W10" s="3"/>
      <c r="X10" s="3"/>
      <c r="Y10" s="49"/>
      <c r="Z10" s="3"/>
      <c r="AA10" s="3"/>
      <c r="AB10" s="49"/>
      <c r="AC10" s="27"/>
      <c r="AD10" s="27"/>
      <c r="AE10" s="11"/>
      <c r="AF10" s="11"/>
      <c r="AG10" s="11"/>
      <c r="AH10" s="27"/>
      <c r="AI10" s="27"/>
      <c r="AJ10" s="3"/>
      <c r="AK10" s="3"/>
      <c r="AL10" s="3"/>
      <c r="AM10" s="3"/>
      <c r="AN10" s="3"/>
      <c r="AO10" s="3"/>
      <c r="AP10" s="5"/>
      <c r="AQ10" s="5"/>
      <c r="AR10" s="5"/>
      <c r="AS10" s="5"/>
      <c r="AT10" s="5"/>
      <c r="AU10" s="5"/>
    </row>
    <row r="11" spans="1:125" ht="15" customHeight="1" x14ac:dyDescent="0.15">
      <c r="A11" s="3"/>
      <c r="B11" s="76" t="s">
        <v>27</v>
      </c>
      <c r="C11" s="76"/>
      <c r="D11" s="12">
        <v>1.2</v>
      </c>
      <c r="E11" s="89"/>
      <c r="F11" s="80"/>
      <c r="G11" s="80"/>
      <c r="H11" s="80"/>
      <c r="I11" s="80"/>
      <c r="J11" s="80"/>
      <c r="K11" s="87">
        <v>150</v>
      </c>
      <c r="L11" s="79">
        <v>9.25</v>
      </c>
      <c r="M11" s="73">
        <f t="shared" ref="M11:M15" si="0">IFERROR(N11*$D$9,0)</f>
        <v>2775</v>
      </c>
      <c r="N11" s="84">
        <f t="shared" ref="N11:N14" si="1">IFERROR(L11/($D$8*$D$9*$D$10*$D$11*$D$12/86400),0)</f>
        <v>555</v>
      </c>
      <c r="O11" s="83">
        <v>4.4999999999999997E-3</v>
      </c>
      <c r="P11" s="3"/>
      <c r="Q11" s="3"/>
      <c r="R11" s="3"/>
      <c r="S11" s="3"/>
      <c r="T11" s="3"/>
      <c r="U11" s="3"/>
      <c r="V11" s="3"/>
      <c r="W11" s="3"/>
      <c r="X11" s="3"/>
      <c r="Y11" s="49"/>
      <c r="Z11" s="3"/>
      <c r="AA11" s="3"/>
      <c r="AB11" s="49"/>
      <c r="AC11" s="27"/>
      <c r="AD11" s="27"/>
      <c r="AE11" s="11"/>
      <c r="AF11" s="11"/>
      <c r="AG11" s="11"/>
      <c r="AH11" s="27"/>
      <c r="AI11" s="27"/>
      <c r="AJ11" s="3"/>
      <c r="AK11" s="3"/>
      <c r="AL11" s="3"/>
      <c r="AM11" s="3"/>
      <c r="AN11" s="3"/>
      <c r="AO11" s="3"/>
      <c r="AP11" s="5"/>
      <c r="AQ11" s="5"/>
      <c r="AR11" s="5"/>
      <c r="AS11" s="5"/>
      <c r="AT11" s="5"/>
      <c r="AU11" s="5"/>
    </row>
    <row r="12" spans="1:125" ht="15" customHeight="1" x14ac:dyDescent="0.15">
      <c r="A12" s="3"/>
      <c r="B12" s="76" t="s">
        <v>30</v>
      </c>
      <c r="C12" s="76"/>
      <c r="D12" s="12">
        <v>1.5</v>
      </c>
      <c r="E12" s="13"/>
      <c r="F12" s="80"/>
      <c r="G12" s="80"/>
      <c r="H12" s="80"/>
      <c r="I12" s="80"/>
      <c r="J12" s="80"/>
      <c r="K12" s="87">
        <v>200</v>
      </c>
      <c r="L12" s="79">
        <v>20</v>
      </c>
      <c r="M12" s="73">
        <f t="shared" si="0"/>
        <v>6000</v>
      </c>
      <c r="N12" s="84">
        <f t="shared" si="1"/>
        <v>1200</v>
      </c>
      <c r="O12" s="83">
        <v>4.4999999999999997E-3</v>
      </c>
      <c r="P12" s="3"/>
      <c r="Q12" s="3"/>
      <c r="R12" s="3"/>
      <c r="S12" s="3"/>
      <c r="T12" s="3"/>
      <c r="U12" s="3"/>
      <c r="V12" s="3"/>
      <c r="W12" s="3"/>
      <c r="X12" s="3"/>
      <c r="Y12" s="49"/>
      <c r="Z12" s="3"/>
      <c r="AA12" s="3"/>
      <c r="AB12" s="49"/>
      <c r="AC12" s="27"/>
      <c r="AD12" s="27"/>
      <c r="AE12" s="11"/>
      <c r="AF12" s="11"/>
      <c r="AG12" s="11"/>
      <c r="AH12" s="27"/>
      <c r="AI12" s="27"/>
      <c r="AJ12" s="3"/>
      <c r="AK12" s="3"/>
      <c r="AL12" s="3"/>
      <c r="AM12" s="3"/>
      <c r="AN12" s="3"/>
      <c r="AO12" s="3"/>
      <c r="AP12" s="5"/>
      <c r="AQ12" s="5"/>
      <c r="AR12" s="5"/>
      <c r="AS12" s="5"/>
      <c r="AT12" s="5"/>
      <c r="AU12" s="5"/>
    </row>
    <row r="13" spans="1:125" ht="12.75" x14ac:dyDescent="0.15">
      <c r="A13" s="3"/>
      <c r="B13" s="76" t="s">
        <v>28</v>
      </c>
      <c r="C13" s="76"/>
      <c r="D13" s="24">
        <v>1.2999999999999999E-2</v>
      </c>
      <c r="E13" s="13"/>
      <c r="F13" s="80"/>
      <c r="G13" s="80"/>
      <c r="H13" s="80"/>
      <c r="I13" s="80"/>
      <c r="J13" s="80"/>
      <c r="K13" s="87">
        <v>250</v>
      </c>
      <c r="L13" s="79">
        <v>36.17</v>
      </c>
      <c r="M13" s="73">
        <f t="shared" si="0"/>
        <v>10851.000000000002</v>
      </c>
      <c r="N13" s="84">
        <f t="shared" si="1"/>
        <v>2170.2000000000003</v>
      </c>
      <c r="O13" s="83">
        <v>4.4999999999999997E-3</v>
      </c>
      <c r="P13" s="3"/>
      <c r="Q13" s="3"/>
      <c r="R13" s="3"/>
      <c r="S13" s="3"/>
      <c r="T13" s="3"/>
      <c r="U13" s="3"/>
      <c r="V13" s="3"/>
      <c r="W13" s="3"/>
      <c r="X13" s="3"/>
      <c r="Y13" s="49"/>
      <c r="Z13" s="3"/>
      <c r="AA13" s="3"/>
      <c r="AB13" s="49"/>
      <c r="AC13" s="27"/>
      <c r="AD13" s="27"/>
      <c r="AE13" s="11"/>
      <c r="AF13" s="11"/>
      <c r="AG13" s="11"/>
      <c r="AH13" s="27"/>
      <c r="AI13" s="27"/>
      <c r="AJ13" s="3"/>
      <c r="AK13" s="3"/>
      <c r="AL13" s="3"/>
      <c r="AM13" s="3"/>
      <c r="AN13" s="3"/>
      <c r="AO13" s="3"/>
      <c r="AP13" s="5"/>
      <c r="AQ13" s="5"/>
      <c r="AR13" s="5"/>
      <c r="AS13" s="5"/>
      <c r="AT13" s="5"/>
      <c r="AU13" s="5"/>
    </row>
    <row r="14" spans="1:125" ht="15" customHeight="1" x14ac:dyDescent="0.2">
      <c r="A14" s="26"/>
      <c r="B14" s="90"/>
      <c r="C14" s="90"/>
      <c r="D14" s="90"/>
      <c r="E14" s="90"/>
      <c r="F14" s="80"/>
      <c r="G14" s="80"/>
      <c r="H14" s="80"/>
      <c r="I14" s="80"/>
      <c r="J14" s="80"/>
      <c r="K14" s="87">
        <v>315</v>
      </c>
      <c r="L14" s="79"/>
      <c r="M14" s="73">
        <f t="shared" si="0"/>
        <v>0</v>
      </c>
      <c r="N14" s="84">
        <f t="shared" si="1"/>
        <v>0</v>
      </c>
      <c r="O14" s="83"/>
      <c r="P14" s="3"/>
      <c r="Q14" s="3"/>
      <c r="R14" s="3"/>
      <c r="S14" s="3"/>
      <c r="T14" s="3"/>
      <c r="U14" s="3"/>
      <c r="V14" s="3"/>
      <c r="W14" s="3"/>
      <c r="X14" s="3"/>
      <c r="Y14" s="49"/>
      <c r="Z14" s="3"/>
      <c r="AA14" s="3"/>
      <c r="AB14" s="49"/>
      <c r="AC14" s="27"/>
      <c r="AD14" s="27"/>
      <c r="AE14" s="11"/>
      <c r="AF14" s="11"/>
      <c r="AG14" s="11"/>
      <c r="AH14" s="27"/>
      <c r="AI14" s="27"/>
      <c r="AJ14" s="3"/>
      <c r="AK14" s="3"/>
      <c r="AL14" s="3"/>
      <c r="AM14" s="3"/>
      <c r="AN14" s="3"/>
      <c r="AO14" s="3"/>
      <c r="AP14" s="5"/>
      <c r="AQ14" s="5"/>
      <c r="AR14" s="5"/>
      <c r="AS14" s="5"/>
      <c r="AT14" s="5"/>
      <c r="AU14" s="5"/>
    </row>
    <row r="15" spans="1:125" ht="15" customHeight="1" x14ac:dyDescent="0.2">
      <c r="A15" s="26"/>
      <c r="B15" s="74" t="s">
        <v>49</v>
      </c>
      <c r="C15" s="90"/>
      <c r="D15" s="90"/>
      <c r="E15" s="90"/>
      <c r="F15" s="80"/>
      <c r="G15" s="80"/>
      <c r="H15" s="80"/>
      <c r="I15" s="80"/>
      <c r="J15" s="80"/>
      <c r="K15" s="87">
        <v>400</v>
      </c>
      <c r="L15" s="79"/>
      <c r="M15" s="73">
        <f t="shared" si="0"/>
        <v>0</v>
      </c>
      <c r="N15" s="84">
        <f t="shared" ref="N15" si="2">IFERROR(L15/($D$8*$D$9*$D$10*$D$11*$D$12/86400),0)</f>
        <v>0</v>
      </c>
      <c r="O15" s="83"/>
      <c r="P15" s="3"/>
      <c r="Q15" s="3"/>
      <c r="R15" s="3"/>
      <c r="S15" s="3"/>
      <c r="T15" s="3"/>
      <c r="U15" s="3"/>
      <c r="V15" s="3"/>
      <c r="W15" s="3"/>
      <c r="X15" s="3"/>
      <c r="Y15" s="49"/>
      <c r="Z15" s="3"/>
      <c r="AA15" s="3"/>
      <c r="AB15" s="49"/>
      <c r="AC15" s="27"/>
      <c r="AD15" s="27"/>
      <c r="AE15" s="11"/>
      <c r="AF15" s="11"/>
      <c r="AG15" s="11"/>
      <c r="AH15" s="27"/>
      <c r="AI15" s="27"/>
      <c r="AJ15" s="3"/>
      <c r="AK15" s="3"/>
      <c r="AL15" s="3"/>
      <c r="AM15" s="3"/>
      <c r="AN15" s="3"/>
      <c r="AO15" s="3"/>
      <c r="AP15" s="5"/>
      <c r="AQ15" s="5"/>
      <c r="AR15" s="5"/>
      <c r="AS15" s="5"/>
      <c r="AT15" s="5"/>
      <c r="AU15" s="5"/>
    </row>
    <row r="16" spans="1:125" ht="22.5" customHeight="1" x14ac:dyDescent="0.2">
      <c r="A16" s="26"/>
      <c r="B16" s="62"/>
      <c r="C16" s="62"/>
      <c r="D16" s="62"/>
      <c r="E16" s="62"/>
      <c r="F16" s="3"/>
      <c r="G16" s="3"/>
      <c r="H16" s="3"/>
      <c r="I16" s="3"/>
      <c r="J16" s="3"/>
      <c r="K16" s="115" t="s">
        <v>37</v>
      </c>
      <c r="L16" s="115"/>
      <c r="M16" s="115"/>
      <c r="N16" s="115"/>
      <c r="O16" s="115"/>
      <c r="P16" s="3"/>
      <c r="Q16" s="3"/>
      <c r="R16" s="3"/>
      <c r="S16" s="3"/>
      <c r="T16" s="3"/>
      <c r="U16" s="3"/>
      <c r="V16" s="3"/>
      <c r="W16" s="3"/>
      <c r="X16" s="3"/>
      <c r="Y16" s="49"/>
      <c r="Z16" s="3"/>
      <c r="AA16" s="3"/>
      <c r="AB16" s="49"/>
      <c r="AC16" s="27"/>
      <c r="AD16" s="27"/>
      <c r="AE16" s="11"/>
      <c r="AF16" s="11"/>
      <c r="AG16" s="11"/>
      <c r="AH16" s="27"/>
      <c r="AI16" s="27"/>
      <c r="AJ16" s="3"/>
      <c r="AK16" s="3"/>
      <c r="AL16" s="3"/>
      <c r="AM16" s="3"/>
      <c r="AN16" s="3"/>
      <c r="AO16" s="3"/>
      <c r="AP16" s="5"/>
      <c r="AQ16" s="5"/>
      <c r="AR16" s="5"/>
      <c r="AS16" s="5"/>
      <c r="AT16" s="5"/>
      <c r="AU16" s="5"/>
    </row>
    <row r="17" spans="1:47" ht="12.75" x14ac:dyDescent="0.15">
      <c r="A17" s="3"/>
      <c r="B17" s="98" t="s">
        <v>50</v>
      </c>
      <c r="C17" s="62"/>
      <c r="D17" s="56">
        <v>2170</v>
      </c>
      <c r="E17" s="13" t="s">
        <v>21</v>
      </c>
      <c r="F17" s="3"/>
      <c r="G17" s="3"/>
      <c r="H17" s="3"/>
      <c r="I17" s="3"/>
      <c r="J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9"/>
      <c r="Z17" s="3"/>
      <c r="AA17" s="3"/>
      <c r="AB17" s="49"/>
      <c r="AC17" s="27"/>
      <c r="AD17" s="27"/>
      <c r="AE17" s="11"/>
      <c r="AF17" s="11"/>
      <c r="AG17" s="11"/>
      <c r="AH17" s="27"/>
      <c r="AI17" s="27"/>
      <c r="AJ17" s="3"/>
      <c r="AK17" s="3"/>
      <c r="AL17" s="3"/>
      <c r="AM17" s="3"/>
      <c r="AN17" s="3"/>
      <c r="AO17" s="3"/>
      <c r="AP17" s="5"/>
      <c r="AQ17" s="5"/>
      <c r="AR17" s="5"/>
      <c r="AS17" s="5"/>
      <c r="AT17" s="5"/>
      <c r="AU17" s="5"/>
    </row>
    <row r="18" spans="1:47" ht="12.75" x14ac:dyDescent="0.15">
      <c r="A18" s="3"/>
      <c r="B18" s="98" t="s">
        <v>51</v>
      </c>
      <c r="C18" s="76"/>
      <c r="D18" s="102">
        <f>D8*D9*D10*D11*D12/86400*D17</f>
        <v>36.166666666666664</v>
      </c>
      <c r="E18" s="13" t="s">
        <v>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9"/>
      <c r="Z18" s="3"/>
      <c r="AA18" s="3"/>
      <c r="AB18" s="49"/>
      <c r="AC18" s="27"/>
      <c r="AD18" s="27"/>
      <c r="AE18" s="11"/>
      <c r="AF18" s="11"/>
      <c r="AG18" s="11"/>
      <c r="AH18" s="27"/>
      <c r="AI18" s="27"/>
      <c r="AJ18" s="3"/>
      <c r="AK18" s="3"/>
      <c r="AL18" s="3"/>
      <c r="AM18" s="3"/>
      <c r="AN18" s="3"/>
      <c r="AO18" s="3"/>
      <c r="AP18" s="5"/>
      <c r="AQ18" s="5"/>
      <c r="AR18" s="5"/>
      <c r="AS18" s="5"/>
      <c r="AT18" s="5"/>
      <c r="AU18" s="5"/>
    </row>
    <row r="19" spans="1:47" ht="15" x14ac:dyDescent="0.15">
      <c r="A19" s="3"/>
      <c r="B19" s="93" t="s">
        <v>52</v>
      </c>
      <c r="C19" s="92"/>
      <c r="D19" s="81">
        <f>IF(D18&lt;$H$10,$H$10,D18)</f>
        <v>36.166666666666664</v>
      </c>
      <c r="E19" s="13" t="s">
        <v>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9"/>
      <c r="Z19" s="3"/>
      <c r="AA19" s="3"/>
      <c r="AB19" s="49"/>
      <c r="AC19" s="27"/>
      <c r="AD19" s="27"/>
      <c r="AE19" s="11"/>
      <c r="AF19" s="11"/>
      <c r="AG19" s="11"/>
      <c r="AH19" s="27"/>
      <c r="AI19" s="27"/>
      <c r="AJ19" s="3"/>
      <c r="AK19" s="3"/>
      <c r="AL19" s="3"/>
      <c r="AM19" s="3"/>
      <c r="AN19" s="3"/>
      <c r="AO19" s="3"/>
      <c r="AP19" s="5"/>
      <c r="AQ19" s="5"/>
      <c r="AR19" s="5"/>
      <c r="AS19" s="5"/>
      <c r="AT19" s="5"/>
      <c r="AU19" s="5"/>
    </row>
    <row r="20" spans="1:47" ht="12.75" x14ac:dyDescent="0.15">
      <c r="A20" s="3"/>
      <c r="B20" s="76"/>
      <c r="C20" s="76"/>
      <c r="D20" s="58"/>
      <c r="E20" s="1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49"/>
      <c r="Z20" s="3"/>
      <c r="AA20" s="3"/>
      <c r="AB20" s="49"/>
      <c r="AC20" s="27"/>
      <c r="AD20" s="27"/>
      <c r="AE20" s="11"/>
      <c r="AF20" s="11"/>
      <c r="AG20" s="11"/>
      <c r="AH20" s="27"/>
      <c r="AI20" s="27"/>
      <c r="AJ20" s="3"/>
      <c r="AK20" s="3"/>
      <c r="AL20" s="3"/>
      <c r="AM20" s="3"/>
      <c r="AN20" s="3"/>
      <c r="AO20" s="3"/>
      <c r="AP20" s="5"/>
      <c r="AQ20" s="5"/>
      <c r="AR20" s="5"/>
      <c r="AS20" s="5"/>
      <c r="AT20" s="5"/>
      <c r="AU20" s="5"/>
    </row>
    <row r="21" spans="1:47" ht="12.75" x14ac:dyDescent="0.15">
      <c r="A21" s="3"/>
      <c r="B21" s="94" t="s">
        <v>53</v>
      </c>
      <c r="C21" s="95"/>
      <c r="D21" s="85">
        <v>4.4999999999999997E-3</v>
      </c>
      <c r="E21" s="13" t="s">
        <v>23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49"/>
      <c r="Z21" s="3"/>
      <c r="AA21" s="3"/>
      <c r="AB21" s="49"/>
      <c r="AC21" s="27"/>
      <c r="AD21" s="27"/>
      <c r="AE21" s="11"/>
      <c r="AF21" s="11"/>
      <c r="AG21" s="11"/>
      <c r="AH21" s="27"/>
      <c r="AI21" s="27"/>
      <c r="AJ21" s="3"/>
      <c r="AK21" s="3"/>
      <c r="AL21" s="3"/>
      <c r="AM21" s="3"/>
      <c r="AN21" s="3"/>
      <c r="AO21" s="3"/>
      <c r="AP21" s="5"/>
      <c r="AQ21" s="5"/>
      <c r="AR21" s="5"/>
      <c r="AS21" s="5"/>
      <c r="AT21" s="5"/>
      <c r="AU21" s="5"/>
    </row>
    <row r="22" spans="1:47" ht="18" x14ac:dyDescent="0.15">
      <c r="A22" s="3"/>
      <c r="B22" s="91" t="s">
        <v>54</v>
      </c>
      <c r="C22" s="96"/>
      <c r="D22" s="86">
        <v>250</v>
      </c>
      <c r="E22" s="13" t="s">
        <v>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49"/>
      <c r="Z22" s="3"/>
      <c r="AA22" s="3"/>
      <c r="AB22" s="49"/>
      <c r="AC22" s="27"/>
      <c r="AD22" s="27"/>
      <c r="AE22" s="11"/>
      <c r="AF22" s="11"/>
      <c r="AG22" s="11"/>
      <c r="AH22" s="27"/>
      <c r="AI22" s="27"/>
      <c r="AJ22" s="3"/>
      <c r="AK22" s="3"/>
      <c r="AL22" s="3"/>
      <c r="AM22" s="3"/>
      <c r="AN22" s="3"/>
      <c r="AO22" s="3"/>
      <c r="AP22" s="5"/>
      <c r="AQ22" s="5"/>
      <c r="AR22" s="5"/>
      <c r="AS22" s="5"/>
      <c r="AT22" s="5"/>
      <c r="AU22" s="5"/>
    </row>
    <row r="23" spans="1:47" ht="13.5" customHeight="1" x14ac:dyDescent="0.15">
      <c r="A23" s="5"/>
      <c r="B23" s="65"/>
      <c r="C23" s="65"/>
      <c r="D23" s="65"/>
      <c r="E23" s="6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49"/>
      <c r="Z23" s="3"/>
      <c r="AA23" s="3"/>
      <c r="AB23" s="49"/>
      <c r="AC23" s="27"/>
      <c r="AD23" s="27"/>
      <c r="AE23" s="11"/>
      <c r="AF23" s="11"/>
      <c r="AG23" s="11"/>
      <c r="AH23" s="27"/>
      <c r="AI23" s="27"/>
      <c r="AJ23" s="3"/>
      <c r="AK23" s="3"/>
      <c r="AL23" s="3"/>
      <c r="AM23" s="3"/>
      <c r="AN23" s="3"/>
      <c r="AO23" s="3"/>
      <c r="AP23" s="5"/>
      <c r="AQ23" s="5"/>
      <c r="AR23" s="5"/>
      <c r="AS23" s="5"/>
      <c r="AT23" s="5"/>
      <c r="AU23" s="5"/>
    </row>
    <row r="24" spans="1:47" ht="13.5" customHeight="1" x14ac:dyDescent="0.15">
      <c r="A24" s="3"/>
      <c r="B24" s="74" t="s">
        <v>55</v>
      </c>
      <c r="C24" s="62"/>
      <c r="D24" s="65"/>
      <c r="E24" s="13"/>
      <c r="F24" s="1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49"/>
      <c r="Z24" s="3"/>
      <c r="AA24" s="3"/>
      <c r="AB24" s="49"/>
      <c r="AC24" s="27"/>
      <c r="AD24" s="27"/>
      <c r="AE24" s="11"/>
      <c r="AF24" s="11"/>
      <c r="AG24" s="11"/>
      <c r="AH24" s="27"/>
      <c r="AI24" s="27"/>
      <c r="AJ24" s="3"/>
      <c r="AK24" s="3"/>
      <c r="AL24" s="3"/>
      <c r="AM24" s="3"/>
      <c r="AN24" s="3"/>
      <c r="AO24" s="3"/>
      <c r="AP24" s="5"/>
      <c r="AQ24" s="5"/>
      <c r="AR24" s="5"/>
      <c r="AS24" s="5"/>
      <c r="AT24" s="5"/>
      <c r="AU24" s="5"/>
    </row>
    <row r="25" spans="1:47" ht="13.5" customHeight="1" x14ac:dyDescent="0.15">
      <c r="A25" s="3"/>
      <c r="B25" s="76" t="s">
        <v>26</v>
      </c>
      <c r="C25" s="62"/>
      <c r="D25" s="57">
        <f>CH!$AA$6</f>
        <v>3.9289516783285232E-2</v>
      </c>
      <c r="E25" s="13" t="s">
        <v>22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49"/>
      <c r="Z25" s="3"/>
      <c r="AA25" s="3"/>
      <c r="AB25" s="49"/>
      <c r="AC25" s="27"/>
      <c r="AD25" s="27"/>
      <c r="AE25" s="11"/>
      <c r="AF25" s="11"/>
      <c r="AG25" s="11"/>
      <c r="AH25" s="27"/>
      <c r="AI25" s="27"/>
      <c r="AJ25" s="3"/>
      <c r="AK25" s="3"/>
      <c r="AL25" s="3"/>
      <c r="AM25" s="3"/>
      <c r="AN25" s="3"/>
      <c r="AO25" s="3"/>
      <c r="AP25" s="5"/>
      <c r="AQ25" s="5"/>
      <c r="AR25" s="5"/>
      <c r="AS25" s="5"/>
      <c r="AT25" s="5"/>
      <c r="AU25" s="5"/>
    </row>
    <row r="26" spans="1:47" ht="13.5" customHeight="1" x14ac:dyDescent="0.15">
      <c r="A26" s="3"/>
      <c r="B26" s="98" t="s">
        <v>56</v>
      </c>
      <c r="C26" s="62"/>
      <c r="D26" s="58">
        <f>CH!$AB$6</f>
        <v>0.52146282184511261</v>
      </c>
      <c r="E26" s="13" t="s">
        <v>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49"/>
      <c r="Z26" s="3"/>
      <c r="AA26" s="3"/>
      <c r="AB26" s="49"/>
      <c r="AC26" s="27"/>
      <c r="AD26" s="27"/>
      <c r="AE26" s="11"/>
      <c r="AF26" s="11"/>
      <c r="AG26" s="11"/>
      <c r="AH26" s="27"/>
      <c r="AI26" s="27"/>
      <c r="AJ26" s="3"/>
      <c r="AK26" s="3"/>
      <c r="AL26" s="3"/>
      <c r="AM26" s="3"/>
      <c r="AN26" s="3"/>
      <c r="AO26" s="3"/>
      <c r="AP26" s="5"/>
      <c r="AQ26" s="5"/>
      <c r="AR26" s="5"/>
      <c r="AS26" s="5"/>
      <c r="AT26" s="5"/>
      <c r="AU26" s="5"/>
    </row>
    <row r="27" spans="1:47" ht="13.5" customHeight="1" x14ac:dyDescent="0.15">
      <c r="A27" s="3"/>
      <c r="B27" s="98" t="s">
        <v>57</v>
      </c>
      <c r="C27" s="62"/>
      <c r="D27" s="58">
        <f>CH!$AD$6</f>
        <v>7.5344809135703239E-2</v>
      </c>
      <c r="E27" s="13" t="s">
        <v>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49"/>
      <c r="Z27" s="3"/>
      <c r="AA27" s="3"/>
      <c r="AB27" s="49"/>
      <c r="AC27" s="27"/>
      <c r="AD27" s="27"/>
      <c r="AE27" s="11"/>
      <c r="AF27" s="11"/>
      <c r="AG27" s="11"/>
      <c r="AH27" s="27"/>
      <c r="AI27" s="27"/>
      <c r="AJ27" s="3"/>
      <c r="AK27" s="3"/>
      <c r="AL27" s="3"/>
      <c r="AM27" s="3"/>
      <c r="AN27" s="3"/>
      <c r="AO27" s="3"/>
      <c r="AP27" s="5"/>
      <c r="AQ27" s="5"/>
      <c r="AR27" s="5"/>
      <c r="AS27" s="5"/>
      <c r="AT27" s="5"/>
      <c r="AU27" s="5"/>
    </row>
    <row r="28" spans="1:47" ht="13.5" customHeight="1" x14ac:dyDescent="0.15">
      <c r="A28" s="3"/>
      <c r="B28" s="76"/>
      <c r="C28" s="62"/>
      <c r="D28" s="58"/>
      <c r="E28" s="1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49"/>
      <c r="Z28" s="3"/>
      <c r="AA28" s="3"/>
      <c r="AB28" s="49"/>
      <c r="AC28" s="27"/>
      <c r="AD28" s="27"/>
      <c r="AE28" s="11"/>
      <c r="AF28" s="11"/>
      <c r="AG28" s="11"/>
      <c r="AH28" s="27"/>
      <c r="AI28" s="27"/>
      <c r="AJ28" s="3"/>
      <c r="AK28" s="3"/>
      <c r="AL28" s="3"/>
      <c r="AM28" s="3"/>
      <c r="AN28" s="3"/>
      <c r="AO28" s="3"/>
      <c r="AP28" s="5"/>
      <c r="AQ28" s="5"/>
      <c r="AR28" s="5"/>
      <c r="AS28" s="5"/>
      <c r="AT28" s="5"/>
      <c r="AU28" s="5"/>
    </row>
    <row r="29" spans="1:47" ht="13.5" customHeight="1" x14ac:dyDescent="0.15">
      <c r="A29" s="3"/>
      <c r="B29" s="97" t="s">
        <v>25</v>
      </c>
      <c r="C29" s="62"/>
      <c r="D29" s="100">
        <f>CH!$AE$6</f>
        <v>0.74629134004490683</v>
      </c>
      <c r="E29" s="1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9"/>
      <c r="Z29" s="3"/>
      <c r="AA29" s="3"/>
      <c r="AB29" s="49"/>
      <c r="AC29" s="27"/>
      <c r="AD29" s="27"/>
      <c r="AE29" s="11"/>
      <c r="AF29" s="11"/>
      <c r="AG29" s="11"/>
      <c r="AH29" s="27"/>
      <c r="AI29" s="27"/>
      <c r="AJ29" s="3"/>
      <c r="AK29" s="3"/>
      <c r="AL29" s="3"/>
      <c r="AM29" s="3"/>
      <c r="AN29" s="3"/>
      <c r="AO29" s="3"/>
      <c r="AP29" s="5"/>
      <c r="AQ29" s="5"/>
      <c r="AR29" s="5"/>
      <c r="AS29" s="5"/>
      <c r="AT29" s="5"/>
      <c r="AU29" s="5"/>
    </row>
    <row r="30" spans="1:47" ht="13.5" customHeight="1" x14ac:dyDescent="0.15">
      <c r="A30" s="3"/>
      <c r="B30" s="97" t="s">
        <v>58</v>
      </c>
      <c r="C30" s="62"/>
      <c r="D30" s="101">
        <f>CH!$AF$6</f>
        <v>3.3905164111066455</v>
      </c>
      <c r="E30" s="13" t="s">
        <v>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9"/>
      <c r="Z30" s="3"/>
      <c r="AA30" s="3"/>
      <c r="AB30" s="49"/>
      <c r="AC30" s="27"/>
      <c r="AD30" s="27"/>
      <c r="AE30" s="11"/>
      <c r="AF30" s="11"/>
      <c r="AG30" s="11"/>
      <c r="AH30" s="27"/>
      <c r="AI30" s="27"/>
      <c r="AJ30" s="3"/>
      <c r="AK30" s="3"/>
      <c r="AL30" s="3"/>
      <c r="AM30" s="3"/>
      <c r="AN30" s="3"/>
      <c r="AO30" s="3"/>
      <c r="AP30" s="5"/>
      <c r="AQ30" s="5"/>
      <c r="AR30" s="5"/>
      <c r="AS30" s="5"/>
      <c r="AT30" s="5"/>
      <c r="AU30" s="5"/>
    </row>
    <row r="31" spans="1:47" ht="13.5" customHeight="1" x14ac:dyDescent="0.15">
      <c r="A31" s="3"/>
      <c r="B31" s="97" t="s">
        <v>59</v>
      </c>
      <c r="C31" s="62"/>
      <c r="D31" s="59">
        <f>CH!$AG$6</f>
        <v>0.9205169629892952</v>
      </c>
      <c r="E31" s="13" t="s">
        <v>24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49"/>
      <c r="Z31" s="3"/>
      <c r="AA31" s="3"/>
      <c r="AB31" s="49"/>
      <c r="AC31" s="27"/>
      <c r="AD31" s="27"/>
      <c r="AE31" s="11"/>
      <c r="AF31" s="11"/>
      <c r="AG31" s="11"/>
      <c r="AH31" s="27"/>
      <c r="AI31" s="27"/>
      <c r="AJ31" s="3"/>
      <c r="AK31" s="3"/>
      <c r="AL31" s="3"/>
      <c r="AM31" s="3"/>
      <c r="AN31" s="3"/>
      <c r="AO31" s="3"/>
      <c r="AP31" s="5"/>
      <c r="AQ31" s="5"/>
      <c r="AR31" s="5"/>
      <c r="AS31" s="5"/>
      <c r="AT31" s="5"/>
      <c r="AU31" s="5"/>
    </row>
    <row r="32" spans="1:47" ht="13.5" customHeight="1" x14ac:dyDescent="0.15">
      <c r="A32" s="3"/>
      <c r="B32" s="1"/>
      <c r="C32" s="3"/>
      <c r="D32" s="3"/>
      <c r="E32" s="1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49"/>
      <c r="Z32" s="3"/>
      <c r="AA32" s="3"/>
      <c r="AB32" s="49"/>
      <c r="AC32" s="27"/>
      <c r="AD32" s="27"/>
      <c r="AE32" s="11"/>
      <c r="AF32" s="11"/>
      <c r="AG32" s="11"/>
      <c r="AH32" s="27"/>
      <c r="AI32" s="27"/>
      <c r="AJ32" s="3"/>
      <c r="AK32" s="3"/>
      <c r="AL32" s="3"/>
      <c r="AM32" s="3"/>
      <c r="AN32" s="3"/>
      <c r="AO32" s="3"/>
      <c r="AP32" s="5"/>
      <c r="AQ32" s="5"/>
      <c r="AR32" s="5"/>
      <c r="AS32" s="5"/>
      <c r="AT32" s="5"/>
      <c r="AU32" s="5"/>
    </row>
    <row r="33" spans="1:47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49"/>
      <c r="Z33" s="3"/>
      <c r="AA33" s="3"/>
      <c r="AB33" s="49"/>
      <c r="AC33" s="27"/>
      <c r="AD33" s="27"/>
      <c r="AE33" s="11"/>
      <c r="AF33" s="11"/>
      <c r="AG33" s="11"/>
      <c r="AH33" s="27"/>
      <c r="AI33" s="27"/>
      <c r="AJ33" s="3"/>
      <c r="AK33" s="3"/>
      <c r="AL33" s="3"/>
      <c r="AM33" s="3"/>
      <c r="AN33" s="3"/>
      <c r="AO33" s="3"/>
      <c r="AP33" s="5"/>
      <c r="AQ33" s="5"/>
      <c r="AR33" s="5"/>
      <c r="AS33" s="5"/>
      <c r="AT33" s="5"/>
      <c r="AU33" s="5"/>
    </row>
    <row r="34" spans="1:47" x14ac:dyDescent="0.15">
      <c r="A34" s="3"/>
      <c r="B34" s="69" t="s">
        <v>60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49"/>
      <c r="Z34" s="3"/>
      <c r="AA34" s="3"/>
      <c r="AB34" s="49"/>
      <c r="AC34" s="27"/>
      <c r="AD34" s="27"/>
      <c r="AE34" s="11"/>
      <c r="AF34" s="11"/>
      <c r="AG34" s="11"/>
      <c r="AH34" s="27"/>
      <c r="AI34" s="27"/>
      <c r="AJ34" s="3"/>
      <c r="AK34" s="3"/>
      <c r="AL34" s="3"/>
      <c r="AM34" s="3"/>
      <c r="AN34" s="3"/>
      <c r="AO34" s="3"/>
      <c r="AP34" s="5"/>
      <c r="AQ34" s="5"/>
      <c r="AR34" s="5"/>
      <c r="AS34" s="5"/>
      <c r="AT34" s="5"/>
      <c r="AU34" s="5"/>
    </row>
    <row r="35" spans="1:47" ht="15" customHeight="1" x14ac:dyDescent="0.2">
      <c r="A35" s="16"/>
      <c r="B35" s="16"/>
      <c r="C35" s="16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3"/>
      <c r="U35" s="18"/>
      <c r="V35" s="18"/>
      <c r="W35" s="18"/>
      <c r="X35" s="18"/>
      <c r="Y35" s="50"/>
      <c r="Z35" s="19"/>
      <c r="AA35" s="2"/>
      <c r="AB35" s="52"/>
      <c r="AC35" s="20"/>
      <c r="AD35" s="26"/>
      <c r="AE35" s="26"/>
      <c r="AF35" s="26"/>
      <c r="AG35" s="26"/>
      <c r="AH35" s="26"/>
      <c r="AI35" s="26"/>
      <c r="AJ35" s="26"/>
      <c r="AK35" s="20"/>
      <c r="AL35" s="106" t="s">
        <v>13</v>
      </c>
      <c r="AM35" s="107"/>
      <c r="AN35" s="20"/>
      <c r="AO35" s="20"/>
      <c r="AP35" s="5"/>
      <c r="AQ35" s="5"/>
      <c r="AR35" s="5"/>
      <c r="AS35" s="5"/>
      <c r="AT35" s="5"/>
      <c r="AU35" s="5"/>
    </row>
    <row r="36" spans="1:47" x14ac:dyDescent="0.15">
      <c r="B36" s="23"/>
      <c r="C36" s="2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Z36" s="21"/>
      <c r="AP36" s="5"/>
      <c r="AQ36" s="5"/>
      <c r="AR36" s="5"/>
      <c r="AS36" s="5"/>
      <c r="AT36" s="5"/>
      <c r="AU36" s="5"/>
    </row>
    <row r="37" spans="1:47" x14ac:dyDescent="0.15">
      <c r="B37" s="23"/>
      <c r="C37" s="2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Z37" s="21"/>
      <c r="AP37" s="5"/>
      <c r="AQ37" s="5"/>
      <c r="AR37" s="5"/>
      <c r="AS37" s="5"/>
      <c r="AT37" s="5"/>
      <c r="AU37" s="5"/>
    </row>
    <row r="38" spans="1:47" x14ac:dyDescent="0.15">
      <c r="B38" s="23"/>
      <c r="C38" s="2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Z38" s="21"/>
      <c r="AP38" s="5"/>
      <c r="AQ38" s="5"/>
      <c r="AR38" s="5"/>
      <c r="AS38" s="5"/>
      <c r="AT38" s="5"/>
      <c r="AU38" s="5"/>
    </row>
    <row r="39" spans="1:47" x14ac:dyDescent="0.15">
      <c r="B39" s="23"/>
      <c r="C39" s="2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Z39" s="21"/>
      <c r="AP39" s="5"/>
      <c r="AQ39" s="5"/>
      <c r="AR39" s="5"/>
      <c r="AS39" s="5"/>
      <c r="AT39" s="5"/>
      <c r="AU39" s="5"/>
    </row>
    <row r="40" spans="1:47" x14ac:dyDescent="0.15">
      <c r="B40" s="23"/>
      <c r="C40" s="2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Z40" s="21"/>
      <c r="AP40" s="5"/>
      <c r="AQ40" s="5"/>
      <c r="AR40" s="5"/>
      <c r="AS40" s="5"/>
      <c r="AT40" s="5"/>
      <c r="AU40" s="5"/>
    </row>
    <row r="41" spans="1:47" x14ac:dyDescent="0.15">
      <c r="B41" s="23"/>
      <c r="C41" s="2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Z41" s="21"/>
      <c r="AP41" s="5"/>
      <c r="AQ41" s="5"/>
      <c r="AR41" s="5"/>
      <c r="AS41" s="5"/>
      <c r="AT41" s="5"/>
      <c r="AU41" s="5"/>
    </row>
    <row r="42" spans="1:47" x14ac:dyDescent="0.15">
      <c r="B42" s="23"/>
      <c r="C42" s="2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Z42" s="21"/>
      <c r="AP42" s="5"/>
      <c r="AQ42" s="5"/>
      <c r="AR42" s="5"/>
      <c r="AS42" s="5"/>
      <c r="AT42" s="5"/>
      <c r="AU42" s="5"/>
    </row>
    <row r="43" spans="1:47" x14ac:dyDescent="0.15">
      <c r="B43" s="23"/>
      <c r="C43" s="2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Z43" s="21"/>
      <c r="AP43" s="5"/>
      <c r="AQ43" s="5"/>
      <c r="AR43" s="5"/>
      <c r="AS43" s="5"/>
      <c r="AT43" s="5"/>
      <c r="AU43" s="5"/>
    </row>
    <row r="44" spans="1:47" x14ac:dyDescent="0.15">
      <c r="B44" s="23"/>
      <c r="C44" s="2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Z44" s="21"/>
      <c r="AP44" s="5"/>
      <c r="AQ44" s="5"/>
      <c r="AR44" s="5"/>
      <c r="AS44" s="5"/>
      <c r="AT44" s="5"/>
      <c r="AU44" s="5"/>
    </row>
    <row r="45" spans="1:47" x14ac:dyDescent="0.15">
      <c r="B45" s="23"/>
      <c r="C45" s="2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Z45" s="21"/>
      <c r="AP45" s="5"/>
      <c r="AQ45" s="5"/>
      <c r="AR45" s="5"/>
      <c r="AS45" s="5"/>
      <c r="AT45" s="5"/>
      <c r="AU45" s="5"/>
    </row>
    <row r="46" spans="1:47" x14ac:dyDescent="0.15">
      <c r="B46" s="23"/>
      <c r="C46" s="2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Z46" s="21"/>
      <c r="AP46" s="5"/>
      <c r="AQ46" s="5"/>
      <c r="AR46" s="5"/>
      <c r="AS46" s="5"/>
      <c r="AT46" s="5"/>
      <c r="AU46" s="5"/>
    </row>
    <row r="47" spans="1:47" x14ac:dyDescent="0.15">
      <c r="B47" s="23"/>
      <c r="C47" s="2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Z47" s="21"/>
      <c r="AP47" s="5"/>
      <c r="AQ47" s="5"/>
      <c r="AR47" s="5"/>
      <c r="AS47" s="5"/>
      <c r="AT47" s="5"/>
      <c r="AU47" s="5"/>
    </row>
    <row r="48" spans="1:47" x14ac:dyDescent="0.15">
      <c r="B48" s="23"/>
      <c r="C48" s="2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Z48" s="21"/>
      <c r="AP48" s="5"/>
      <c r="AQ48" s="5"/>
      <c r="AR48" s="5"/>
      <c r="AS48" s="5"/>
      <c r="AT48" s="5"/>
      <c r="AU48" s="5"/>
    </row>
    <row r="49" spans="2:47" x14ac:dyDescent="0.15">
      <c r="B49" s="23"/>
      <c r="C49" s="2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Z49" s="21"/>
      <c r="AP49" s="5"/>
      <c r="AQ49" s="5"/>
      <c r="AR49" s="5"/>
      <c r="AS49" s="5"/>
      <c r="AT49" s="5"/>
      <c r="AU49" s="5"/>
    </row>
    <row r="50" spans="2:47" x14ac:dyDescent="0.15">
      <c r="B50" s="23"/>
      <c r="C50" s="2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Z50" s="21"/>
      <c r="AP50" s="5"/>
      <c r="AQ50" s="5"/>
      <c r="AR50" s="5"/>
      <c r="AS50" s="5"/>
      <c r="AT50" s="5"/>
      <c r="AU50" s="5"/>
    </row>
    <row r="51" spans="2:47" x14ac:dyDescent="0.15">
      <c r="B51" s="23"/>
      <c r="C51" s="2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Z51" s="21"/>
      <c r="AP51" s="5"/>
      <c r="AQ51" s="5"/>
      <c r="AR51" s="5"/>
      <c r="AS51" s="5"/>
      <c r="AT51" s="5"/>
      <c r="AU51" s="5"/>
    </row>
    <row r="52" spans="2:47" x14ac:dyDescent="0.15">
      <c r="B52" s="23"/>
      <c r="C52" s="2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Z52" s="21"/>
      <c r="AP52" s="5"/>
      <c r="AQ52" s="5"/>
      <c r="AR52" s="5"/>
      <c r="AS52" s="5"/>
      <c r="AT52" s="5"/>
      <c r="AU52" s="5"/>
    </row>
    <row r="53" spans="2:47" x14ac:dyDescent="0.15">
      <c r="B53" s="23"/>
      <c r="C53" s="2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Z53" s="21"/>
      <c r="AP53" s="5"/>
      <c r="AQ53" s="5"/>
      <c r="AR53" s="5"/>
      <c r="AS53" s="5"/>
      <c r="AT53" s="5"/>
      <c r="AU53" s="5"/>
    </row>
    <row r="54" spans="2:47" x14ac:dyDescent="0.15">
      <c r="B54" s="23"/>
      <c r="C54" s="2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Z54" s="21"/>
      <c r="AP54" s="5"/>
      <c r="AQ54" s="5"/>
      <c r="AR54" s="5"/>
      <c r="AS54" s="5"/>
      <c r="AT54" s="5"/>
      <c r="AU54" s="5"/>
    </row>
    <row r="55" spans="2:47" x14ac:dyDescent="0.15">
      <c r="B55" s="23"/>
      <c r="C55" s="2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Z55" s="21"/>
      <c r="AP55" s="5"/>
      <c r="AQ55" s="5"/>
      <c r="AR55" s="5"/>
      <c r="AS55" s="5"/>
      <c r="AT55" s="5"/>
      <c r="AU55" s="5"/>
    </row>
    <row r="56" spans="2:47" x14ac:dyDescent="0.15">
      <c r="B56" s="23"/>
      <c r="C56" s="2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Z56" s="21"/>
      <c r="AP56" s="5"/>
      <c r="AQ56" s="5"/>
      <c r="AR56" s="5"/>
      <c r="AS56" s="5"/>
      <c r="AT56" s="5"/>
      <c r="AU56" s="5"/>
    </row>
    <row r="57" spans="2:47" x14ac:dyDescent="0.15">
      <c r="B57" s="23"/>
      <c r="C57" s="2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Z57" s="21"/>
      <c r="AP57" s="5"/>
      <c r="AQ57" s="5"/>
      <c r="AR57" s="5"/>
      <c r="AS57" s="5"/>
      <c r="AT57" s="5"/>
      <c r="AU57" s="5"/>
    </row>
    <row r="58" spans="2:47" x14ac:dyDescent="0.15">
      <c r="B58" s="23"/>
      <c r="C58" s="2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Z58" s="21"/>
      <c r="AP58" s="5"/>
      <c r="AQ58" s="5"/>
      <c r="AR58" s="5"/>
      <c r="AS58" s="5"/>
      <c r="AT58" s="5"/>
      <c r="AU58" s="5"/>
    </row>
    <row r="59" spans="2:47" x14ac:dyDescent="0.15">
      <c r="B59" s="23"/>
      <c r="C59" s="2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Z59" s="21"/>
      <c r="AP59" s="5"/>
      <c r="AQ59" s="5"/>
      <c r="AR59" s="5"/>
      <c r="AS59" s="5"/>
      <c r="AT59" s="5"/>
      <c r="AU59" s="5"/>
    </row>
    <row r="60" spans="2:47" x14ac:dyDescent="0.15">
      <c r="B60" s="23"/>
      <c r="C60" s="2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Z60" s="21"/>
      <c r="AP60" s="5"/>
      <c r="AQ60" s="5"/>
      <c r="AR60" s="5"/>
      <c r="AS60" s="5"/>
      <c r="AT60" s="5"/>
      <c r="AU60" s="5"/>
    </row>
    <row r="61" spans="2:47" x14ac:dyDescent="0.15">
      <c r="B61" s="23"/>
      <c r="C61" s="2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Z61" s="21"/>
      <c r="AP61" s="5"/>
      <c r="AQ61" s="5"/>
      <c r="AR61" s="5"/>
      <c r="AS61" s="5"/>
      <c r="AT61" s="5"/>
      <c r="AU61" s="5"/>
    </row>
    <row r="62" spans="2:47" x14ac:dyDescent="0.15">
      <c r="B62" s="23"/>
      <c r="C62" s="2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Z62" s="21"/>
      <c r="AP62" s="5"/>
      <c r="AQ62" s="5"/>
      <c r="AR62" s="5"/>
      <c r="AS62" s="5"/>
      <c r="AT62" s="5"/>
      <c r="AU62" s="5"/>
    </row>
    <row r="63" spans="2:47" x14ac:dyDescent="0.15">
      <c r="B63" s="23"/>
      <c r="C63" s="2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Z63" s="21"/>
      <c r="AP63" s="5"/>
      <c r="AQ63" s="5"/>
      <c r="AR63" s="5"/>
      <c r="AS63" s="5"/>
      <c r="AT63" s="5"/>
      <c r="AU63" s="5"/>
    </row>
    <row r="64" spans="2:47" x14ac:dyDescent="0.15">
      <c r="B64" s="23"/>
      <c r="C64" s="2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Z64" s="21"/>
      <c r="AP64" s="5"/>
      <c r="AQ64" s="5"/>
      <c r="AR64" s="5"/>
      <c r="AS64" s="5"/>
      <c r="AT64" s="5"/>
      <c r="AU64" s="5"/>
    </row>
    <row r="65" spans="2:47" x14ac:dyDescent="0.15">
      <c r="B65" s="23"/>
      <c r="C65" s="2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Z65" s="21"/>
      <c r="AP65" s="5"/>
      <c r="AQ65" s="5"/>
      <c r="AR65" s="5"/>
      <c r="AS65" s="5"/>
      <c r="AT65" s="5"/>
      <c r="AU65" s="5"/>
    </row>
    <row r="66" spans="2:47" x14ac:dyDescent="0.15">
      <c r="B66" s="23"/>
      <c r="C66" s="2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Z66" s="21"/>
      <c r="AP66" s="5"/>
      <c r="AQ66" s="5"/>
      <c r="AR66" s="5"/>
      <c r="AS66" s="5"/>
      <c r="AT66" s="5"/>
      <c r="AU66" s="5"/>
    </row>
    <row r="67" spans="2:47" x14ac:dyDescent="0.15">
      <c r="B67" s="23"/>
      <c r="C67" s="2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Z67" s="21"/>
      <c r="AP67" s="5"/>
      <c r="AQ67" s="5"/>
      <c r="AR67" s="5"/>
      <c r="AS67" s="5"/>
      <c r="AT67" s="5"/>
      <c r="AU67" s="5"/>
    </row>
    <row r="68" spans="2:47" x14ac:dyDescent="0.15">
      <c r="B68" s="23"/>
      <c r="C68" s="2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Z68" s="21"/>
      <c r="AP68" s="5"/>
      <c r="AQ68" s="5"/>
      <c r="AR68" s="5"/>
      <c r="AS68" s="5"/>
      <c r="AT68" s="5"/>
      <c r="AU68" s="5"/>
    </row>
    <row r="69" spans="2:47" x14ac:dyDescent="0.15">
      <c r="B69" s="23"/>
      <c r="C69" s="2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Z69" s="21"/>
      <c r="AP69" s="5"/>
      <c r="AQ69" s="5"/>
      <c r="AR69" s="5"/>
      <c r="AS69" s="5"/>
      <c r="AT69" s="5"/>
      <c r="AU69" s="5"/>
    </row>
    <row r="70" spans="2:47" x14ac:dyDescent="0.15">
      <c r="B70" s="23"/>
      <c r="C70" s="2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Z70" s="21"/>
      <c r="AP70" s="5"/>
      <c r="AQ70" s="5"/>
      <c r="AR70" s="5"/>
      <c r="AS70" s="5"/>
      <c r="AT70" s="5"/>
      <c r="AU70" s="5"/>
    </row>
    <row r="71" spans="2:47" x14ac:dyDescent="0.15">
      <c r="B71" s="23"/>
      <c r="C71" s="2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Z71" s="21"/>
      <c r="AP71" s="5"/>
      <c r="AQ71" s="5"/>
      <c r="AR71" s="5"/>
      <c r="AS71" s="5"/>
      <c r="AT71" s="5"/>
      <c r="AU71" s="5"/>
    </row>
    <row r="72" spans="2:47" x14ac:dyDescent="0.15">
      <c r="B72" s="23"/>
      <c r="C72" s="2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Z72" s="21"/>
      <c r="AP72" s="5"/>
      <c r="AQ72" s="5"/>
      <c r="AR72" s="5"/>
      <c r="AS72" s="5"/>
      <c r="AT72" s="5"/>
      <c r="AU72" s="5"/>
    </row>
    <row r="73" spans="2:47" x14ac:dyDescent="0.15">
      <c r="B73" s="23"/>
      <c r="C73" s="2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Z73" s="21"/>
      <c r="AP73" s="5"/>
      <c r="AQ73" s="5"/>
      <c r="AR73" s="5"/>
      <c r="AS73" s="5"/>
      <c r="AT73" s="5"/>
      <c r="AU73" s="5"/>
    </row>
    <row r="74" spans="2:47" x14ac:dyDescent="0.15">
      <c r="B74" s="23"/>
      <c r="C74" s="2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Z74" s="21"/>
      <c r="AP74" s="5"/>
      <c r="AQ74" s="5"/>
      <c r="AR74" s="5"/>
      <c r="AS74" s="5"/>
      <c r="AT74" s="5"/>
      <c r="AU74" s="5"/>
    </row>
    <row r="75" spans="2:47" x14ac:dyDescent="0.15">
      <c r="B75" s="23"/>
      <c r="C75" s="2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Z75" s="21"/>
      <c r="AP75" s="5"/>
      <c r="AQ75" s="5"/>
      <c r="AR75" s="5"/>
      <c r="AS75" s="5"/>
      <c r="AT75" s="5"/>
      <c r="AU75" s="5"/>
    </row>
    <row r="76" spans="2:47" x14ac:dyDescent="0.15">
      <c r="B76" s="23"/>
      <c r="C76" s="2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Z76" s="21"/>
      <c r="AP76" s="5"/>
      <c r="AQ76" s="5"/>
      <c r="AR76" s="5"/>
      <c r="AS76" s="5"/>
      <c r="AT76" s="5"/>
      <c r="AU76" s="5"/>
    </row>
    <row r="77" spans="2:47" x14ac:dyDescent="0.15">
      <c r="B77" s="23"/>
      <c r="C77" s="2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Z77" s="21"/>
      <c r="AP77" s="5"/>
      <c r="AQ77" s="5"/>
      <c r="AR77" s="5"/>
      <c r="AS77" s="5"/>
      <c r="AT77" s="5"/>
      <c r="AU77" s="5"/>
    </row>
    <row r="78" spans="2:47" x14ac:dyDescent="0.15">
      <c r="B78" s="23"/>
      <c r="C78" s="2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Z78" s="21"/>
      <c r="AP78" s="5"/>
      <c r="AQ78" s="5"/>
      <c r="AR78" s="5"/>
      <c r="AS78" s="5"/>
      <c r="AT78" s="5"/>
      <c r="AU78" s="5"/>
    </row>
    <row r="79" spans="2:47" x14ac:dyDescent="0.15">
      <c r="B79" s="23"/>
      <c r="C79" s="2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Z79" s="21"/>
      <c r="AP79" s="5"/>
      <c r="AQ79" s="5"/>
      <c r="AR79" s="5"/>
      <c r="AS79" s="5"/>
      <c r="AT79" s="5"/>
      <c r="AU79" s="5"/>
    </row>
    <row r="80" spans="2:47" x14ac:dyDescent="0.15">
      <c r="B80" s="23"/>
      <c r="C80" s="2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Z80" s="21"/>
      <c r="AP80" s="5"/>
      <c r="AQ80" s="5"/>
      <c r="AR80" s="5"/>
      <c r="AS80" s="5"/>
      <c r="AT80" s="5"/>
      <c r="AU80" s="5"/>
    </row>
    <row r="81" spans="2:47" x14ac:dyDescent="0.15">
      <c r="B81" s="23"/>
      <c r="C81" s="2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Z81" s="21"/>
      <c r="AP81" s="5"/>
      <c r="AQ81" s="5"/>
      <c r="AR81" s="5"/>
      <c r="AS81" s="5"/>
      <c r="AT81" s="5"/>
      <c r="AU81" s="5"/>
    </row>
    <row r="82" spans="2:47" x14ac:dyDescent="0.15">
      <c r="B82" s="23"/>
      <c r="C82" s="2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Z82" s="21"/>
      <c r="AP82" s="5"/>
      <c r="AQ82" s="5"/>
      <c r="AR82" s="5"/>
      <c r="AS82" s="5"/>
      <c r="AT82" s="5"/>
      <c r="AU82" s="5"/>
    </row>
    <row r="83" spans="2:47" x14ac:dyDescent="0.15">
      <c r="B83" s="23"/>
      <c r="C83" s="2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Z83" s="21"/>
      <c r="AP83" s="5"/>
      <c r="AQ83" s="5"/>
      <c r="AR83" s="5"/>
      <c r="AS83" s="5"/>
      <c r="AT83" s="5"/>
      <c r="AU83" s="5"/>
    </row>
    <row r="84" spans="2:47" x14ac:dyDescent="0.15">
      <c r="B84" s="23"/>
      <c r="C84" s="2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Z84" s="21"/>
      <c r="AP84" s="5"/>
      <c r="AQ84" s="5"/>
      <c r="AR84" s="5"/>
      <c r="AS84" s="5"/>
      <c r="AT84" s="5"/>
      <c r="AU84" s="5"/>
    </row>
    <row r="85" spans="2:47" x14ac:dyDescent="0.15">
      <c r="B85" s="23"/>
      <c r="C85" s="2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Z85" s="21"/>
      <c r="AP85" s="5"/>
      <c r="AQ85" s="5"/>
      <c r="AR85" s="5"/>
      <c r="AS85" s="5"/>
      <c r="AT85" s="5"/>
      <c r="AU85" s="5"/>
    </row>
    <row r="86" spans="2:47" x14ac:dyDescent="0.15">
      <c r="B86" s="23"/>
      <c r="C86" s="2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Z86" s="21"/>
      <c r="AP86" s="5"/>
      <c r="AQ86" s="5"/>
      <c r="AR86" s="5"/>
      <c r="AS86" s="5"/>
      <c r="AT86" s="5"/>
      <c r="AU86" s="5"/>
    </row>
    <row r="87" spans="2:47" x14ac:dyDescent="0.15">
      <c r="B87" s="23"/>
      <c r="C87" s="2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Z87" s="21"/>
      <c r="AP87" s="5"/>
      <c r="AQ87" s="5"/>
      <c r="AR87" s="5"/>
      <c r="AS87" s="5"/>
      <c r="AT87" s="5"/>
      <c r="AU87" s="5"/>
    </row>
    <row r="88" spans="2:47" x14ac:dyDescent="0.15">
      <c r="B88" s="23"/>
      <c r="C88" s="2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Z88" s="21"/>
      <c r="AP88" s="5"/>
      <c r="AQ88" s="5"/>
      <c r="AR88" s="5"/>
      <c r="AS88" s="5"/>
      <c r="AT88" s="5"/>
      <c r="AU88" s="5"/>
    </row>
    <row r="89" spans="2:47" x14ac:dyDescent="0.15">
      <c r="B89" s="23"/>
      <c r="C89" s="2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Z89" s="21"/>
      <c r="AP89" s="5"/>
      <c r="AQ89" s="5"/>
      <c r="AR89" s="5"/>
      <c r="AS89" s="5"/>
      <c r="AT89" s="5"/>
      <c r="AU89" s="5"/>
    </row>
    <row r="90" spans="2:47" x14ac:dyDescent="0.15">
      <c r="B90" s="23"/>
      <c r="C90" s="2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Z90" s="21"/>
      <c r="AP90" s="5"/>
      <c r="AQ90" s="5"/>
      <c r="AR90" s="5"/>
      <c r="AS90" s="5"/>
      <c r="AT90" s="5"/>
      <c r="AU90" s="5"/>
    </row>
    <row r="91" spans="2:47" x14ac:dyDescent="0.15">
      <c r="B91" s="23"/>
      <c r="C91" s="2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Z91" s="21"/>
      <c r="AP91" s="5"/>
      <c r="AQ91" s="5"/>
      <c r="AR91" s="5"/>
      <c r="AS91" s="5"/>
      <c r="AT91" s="5"/>
      <c r="AU91" s="5"/>
    </row>
    <row r="92" spans="2:47" x14ac:dyDescent="0.15">
      <c r="B92" s="23"/>
      <c r="C92" s="2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Z92" s="21"/>
      <c r="AP92" s="5"/>
      <c r="AQ92" s="5"/>
      <c r="AR92" s="5"/>
      <c r="AS92" s="5"/>
      <c r="AT92" s="5"/>
      <c r="AU92" s="5"/>
    </row>
    <row r="93" spans="2:47" x14ac:dyDescent="0.15">
      <c r="B93" s="23"/>
      <c r="C93" s="2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Z93" s="21"/>
      <c r="AP93" s="5"/>
      <c r="AQ93" s="5"/>
      <c r="AR93" s="5"/>
      <c r="AS93" s="5"/>
      <c r="AT93" s="5"/>
      <c r="AU93" s="5"/>
    </row>
    <row r="94" spans="2:47" x14ac:dyDescent="0.15">
      <c r="B94" s="23"/>
      <c r="C94" s="2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Z94" s="21"/>
      <c r="AP94" s="5"/>
      <c r="AQ94" s="5"/>
      <c r="AR94" s="5"/>
      <c r="AS94" s="5"/>
      <c r="AT94" s="5"/>
      <c r="AU94" s="5"/>
    </row>
    <row r="95" spans="2:47" x14ac:dyDescent="0.15">
      <c r="B95" s="23"/>
      <c r="C95" s="2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Z95" s="21"/>
      <c r="AP95" s="5"/>
      <c r="AQ95" s="5"/>
      <c r="AR95" s="5"/>
      <c r="AS95" s="5"/>
      <c r="AT95" s="5"/>
      <c r="AU95" s="5"/>
    </row>
    <row r="96" spans="2:47" x14ac:dyDescent="0.15">
      <c r="B96" s="23"/>
      <c r="C96" s="2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Z96" s="21"/>
      <c r="AP96" s="5"/>
      <c r="AQ96" s="5"/>
      <c r="AR96" s="5"/>
      <c r="AS96" s="5"/>
      <c r="AT96" s="5"/>
      <c r="AU96" s="5"/>
    </row>
    <row r="97" spans="2:47" x14ac:dyDescent="0.15">
      <c r="B97" s="23"/>
      <c r="C97" s="2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Z97" s="21"/>
      <c r="AP97" s="5"/>
      <c r="AQ97" s="5"/>
      <c r="AR97" s="5"/>
      <c r="AS97" s="5"/>
      <c r="AT97" s="5"/>
      <c r="AU97" s="5"/>
    </row>
    <row r="98" spans="2:47" x14ac:dyDescent="0.15">
      <c r="B98" s="23"/>
      <c r="C98" s="2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Z98" s="21"/>
      <c r="AP98" s="5"/>
      <c r="AQ98" s="5"/>
      <c r="AR98" s="5"/>
      <c r="AS98" s="5"/>
      <c r="AT98" s="5"/>
      <c r="AU98" s="5"/>
    </row>
    <row r="99" spans="2:47" x14ac:dyDescent="0.15">
      <c r="B99" s="23"/>
      <c r="C99" s="2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Z99" s="21"/>
      <c r="AP99" s="5"/>
      <c r="AQ99" s="5"/>
      <c r="AR99" s="5"/>
      <c r="AS99" s="5"/>
      <c r="AT99" s="5"/>
      <c r="AU99" s="5"/>
    </row>
    <row r="100" spans="2:47" x14ac:dyDescent="0.15">
      <c r="B100" s="23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Z100" s="21"/>
      <c r="AP100" s="5"/>
      <c r="AQ100" s="5"/>
      <c r="AR100" s="5"/>
      <c r="AS100" s="5"/>
      <c r="AT100" s="5"/>
      <c r="AU100" s="5"/>
    </row>
    <row r="101" spans="2:47" x14ac:dyDescent="0.15">
      <c r="B101" s="23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Z101" s="21"/>
      <c r="AP101" s="5"/>
      <c r="AQ101" s="5"/>
      <c r="AR101" s="5"/>
      <c r="AS101" s="5"/>
      <c r="AT101" s="5"/>
      <c r="AU101" s="5"/>
    </row>
    <row r="102" spans="2:47" x14ac:dyDescent="0.15">
      <c r="B102" s="23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Z102" s="21"/>
      <c r="AP102" s="5"/>
      <c r="AQ102" s="5"/>
      <c r="AR102" s="5"/>
      <c r="AS102" s="5"/>
      <c r="AT102" s="5"/>
      <c r="AU102" s="5"/>
    </row>
    <row r="103" spans="2:47" x14ac:dyDescent="0.15">
      <c r="B103" s="23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Z103" s="21"/>
      <c r="AP103" s="5"/>
      <c r="AQ103" s="5"/>
      <c r="AR103" s="5"/>
      <c r="AS103" s="5"/>
      <c r="AT103" s="5"/>
      <c r="AU103" s="5"/>
    </row>
    <row r="104" spans="2:47" x14ac:dyDescent="0.15">
      <c r="B104" s="23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Z104" s="21"/>
      <c r="AP104" s="5"/>
      <c r="AQ104" s="5"/>
      <c r="AR104" s="5"/>
      <c r="AS104" s="5"/>
      <c r="AT104" s="5"/>
      <c r="AU104" s="5"/>
    </row>
    <row r="105" spans="2:47" x14ac:dyDescent="0.15">
      <c r="B105" s="23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Z105" s="21"/>
      <c r="AP105" s="5"/>
      <c r="AQ105" s="5"/>
      <c r="AR105" s="5"/>
      <c r="AS105" s="5"/>
      <c r="AT105" s="5"/>
      <c r="AU105" s="5"/>
    </row>
    <row r="106" spans="2:47" x14ac:dyDescent="0.15">
      <c r="B106" s="23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Z106" s="21"/>
      <c r="AP106" s="5"/>
      <c r="AQ106" s="5"/>
      <c r="AR106" s="5"/>
      <c r="AS106" s="5"/>
      <c r="AT106" s="5"/>
      <c r="AU106" s="5"/>
    </row>
    <row r="107" spans="2:47" x14ac:dyDescent="0.15">
      <c r="B107" s="23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Z107" s="21"/>
      <c r="AP107" s="5"/>
      <c r="AQ107" s="5"/>
      <c r="AR107" s="5"/>
      <c r="AS107" s="5"/>
      <c r="AT107" s="5"/>
      <c r="AU107" s="5"/>
    </row>
    <row r="108" spans="2:47" x14ac:dyDescent="0.15">
      <c r="B108" s="23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Z108" s="21"/>
      <c r="AP108" s="5"/>
      <c r="AQ108" s="5"/>
      <c r="AR108" s="5"/>
      <c r="AS108" s="5"/>
      <c r="AT108" s="5"/>
      <c r="AU108" s="5"/>
    </row>
    <row r="109" spans="2:47" x14ac:dyDescent="0.15">
      <c r="B109" s="23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Z109" s="21"/>
      <c r="AP109" s="5"/>
      <c r="AQ109" s="5"/>
      <c r="AR109" s="5"/>
      <c r="AS109" s="5"/>
      <c r="AT109" s="5"/>
      <c r="AU109" s="5"/>
    </row>
    <row r="110" spans="2:47" x14ac:dyDescent="0.15">
      <c r="B110" s="23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Z110" s="21"/>
      <c r="AP110" s="5"/>
      <c r="AQ110" s="5"/>
      <c r="AR110" s="5"/>
      <c r="AS110" s="5"/>
      <c r="AT110" s="5"/>
      <c r="AU110" s="5"/>
    </row>
    <row r="111" spans="2:47" x14ac:dyDescent="0.15">
      <c r="B111" s="23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Z111" s="21"/>
      <c r="AP111" s="5"/>
      <c r="AQ111" s="5"/>
      <c r="AR111" s="5"/>
      <c r="AS111" s="5"/>
      <c r="AT111" s="5"/>
      <c r="AU111" s="5"/>
    </row>
    <row r="112" spans="2:47" x14ac:dyDescent="0.15">
      <c r="B112" s="23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Z112" s="21"/>
      <c r="AP112" s="5"/>
      <c r="AQ112" s="5"/>
      <c r="AR112" s="5"/>
      <c r="AS112" s="5"/>
      <c r="AT112" s="5"/>
      <c r="AU112" s="5"/>
    </row>
    <row r="113" spans="2:47" x14ac:dyDescent="0.15">
      <c r="B113" s="23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Z113" s="21"/>
      <c r="AP113" s="5"/>
      <c r="AQ113" s="5"/>
      <c r="AR113" s="5"/>
      <c r="AS113" s="5"/>
      <c r="AT113" s="5"/>
      <c r="AU113" s="5"/>
    </row>
    <row r="114" spans="2:47" x14ac:dyDescent="0.15">
      <c r="B114" s="23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Z114" s="21"/>
      <c r="AP114" s="5"/>
      <c r="AQ114" s="5"/>
      <c r="AR114" s="5"/>
      <c r="AS114" s="5"/>
      <c r="AT114" s="5"/>
      <c r="AU114" s="5"/>
    </row>
    <row r="115" spans="2:47" x14ac:dyDescent="0.15">
      <c r="B115" s="23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Z115" s="21"/>
      <c r="AP115" s="5"/>
      <c r="AQ115" s="5"/>
      <c r="AR115" s="5"/>
      <c r="AS115" s="5"/>
      <c r="AT115" s="5"/>
      <c r="AU115" s="5"/>
    </row>
    <row r="116" spans="2:47" x14ac:dyDescent="0.15">
      <c r="B116" s="23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Z116" s="21"/>
      <c r="AP116" s="5"/>
      <c r="AQ116" s="5"/>
      <c r="AR116" s="5"/>
      <c r="AS116" s="5"/>
      <c r="AT116" s="5"/>
      <c r="AU116" s="5"/>
    </row>
    <row r="117" spans="2:47" x14ac:dyDescent="0.15">
      <c r="B117" s="23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Z117" s="21"/>
      <c r="AP117" s="5"/>
      <c r="AQ117" s="5"/>
      <c r="AR117" s="5"/>
      <c r="AS117" s="5"/>
      <c r="AT117" s="5"/>
      <c r="AU117" s="5"/>
    </row>
    <row r="118" spans="2:47" x14ac:dyDescent="0.15">
      <c r="B118" s="23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Z118" s="21"/>
      <c r="AP118" s="5"/>
      <c r="AQ118" s="5"/>
      <c r="AR118" s="5"/>
      <c r="AS118" s="5"/>
      <c r="AT118" s="5"/>
      <c r="AU118" s="5"/>
    </row>
    <row r="119" spans="2:47" x14ac:dyDescent="0.15">
      <c r="B119" s="23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Z119" s="21"/>
      <c r="AP119" s="5"/>
      <c r="AQ119" s="5"/>
      <c r="AR119" s="5"/>
      <c r="AS119" s="5"/>
      <c r="AT119" s="5"/>
      <c r="AU119" s="5"/>
    </row>
    <row r="120" spans="2:47" x14ac:dyDescent="0.15">
      <c r="B120" s="23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Z120" s="21"/>
      <c r="AP120" s="5"/>
      <c r="AQ120" s="5"/>
      <c r="AR120" s="5"/>
      <c r="AS120" s="5"/>
      <c r="AT120" s="5"/>
      <c r="AU120" s="5"/>
    </row>
    <row r="121" spans="2:47" x14ac:dyDescent="0.15">
      <c r="B121" s="23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Z121" s="21"/>
      <c r="AP121" s="5"/>
      <c r="AQ121" s="5"/>
      <c r="AR121" s="5"/>
      <c r="AS121" s="5"/>
      <c r="AT121" s="5"/>
      <c r="AU121" s="5"/>
    </row>
    <row r="122" spans="2:47" x14ac:dyDescent="0.15">
      <c r="B122" s="23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Z122" s="21"/>
      <c r="AP122" s="5"/>
      <c r="AQ122" s="5"/>
      <c r="AR122" s="5"/>
      <c r="AS122" s="5"/>
      <c r="AT122" s="5"/>
      <c r="AU122" s="5"/>
    </row>
    <row r="123" spans="2:47" x14ac:dyDescent="0.15">
      <c r="B123" s="23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Z123" s="21"/>
      <c r="AP123" s="5"/>
      <c r="AQ123" s="5"/>
      <c r="AR123" s="5"/>
      <c r="AS123" s="5"/>
      <c r="AT123" s="5"/>
      <c r="AU123" s="5"/>
    </row>
    <row r="124" spans="2:47" x14ac:dyDescent="0.15">
      <c r="B124" s="23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Z124" s="21"/>
      <c r="AP124" s="5"/>
      <c r="AQ124" s="5"/>
      <c r="AR124" s="5"/>
      <c r="AS124" s="5"/>
      <c r="AT124" s="5"/>
      <c r="AU124" s="5"/>
    </row>
    <row r="125" spans="2:47" x14ac:dyDescent="0.15">
      <c r="B125" s="23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Z125" s="21"/>
      <c r="AP125" s="5"/>
      <c r="AQ125" s="5"/>
      <c r="AR125" s="5"/>
      <c r="AS125" s="5"/>
      <c r="AT125" s="5"/>
      <c r="AU125" s="5"/>
    </row>
    <row r="126" spans="2:47" x14ac:dyDescent="0.15">
      <c r="B126" s="23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Z126" s="21"/>
      <c r="AP126" s="5"/>
      <c r="AQ126" s="5"/>
      <c r="AR126" s="5"/>
      <c r="AS126" s="5"/>
      <c r="AT126" s="5"/>
      <c r="AU126" s="5"/>
    </row>
    <row r="127" spans="2:47" x14ac:dyDescent="0.15">
      <c r="B127" s="23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Z127" s="21"/>
      <c r="AP127" s="5"/>
      <c r="AQ127" s="5"/>
      <c r="AR127" s="5"/>
      <c r="AS127" s="5"/>
      <c r="AT127" s="5"/>
      <c r="AU127" s="5"/>
    </row>
    <row r="128" spans="2:47" x14ac:dyDescent="0.15">
      <c r="B128" s="23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Z128" s="21"/>
      <c r="AP128" s="5"/>
      <c r="AQ128" s="5"/>
      <c r="AR128" s="5"/>
      <c r="AS128" s="5"/>
      <c r="AT128" s="5"/>
      <c r="AU128" s="5"/>
    </row>
    <row r="129" spans="2:47" x14ac:dyDescent="0.15">
      <c r="B129" s="23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Z129" s="21"/>
      <c r="AP129" s="5"/>
      <c r="AQ129" s="5"/>
      <c r="AR129" s="5"/>
      <c r="AS129" s="5"/>
      <c r="AT129" s="5"/>
      <c r="AU129" s="5"/>
    </row>
    <row r="130" spans="2:47" x14ac:dyDescent="0.15">
      <c r="B130" s="23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Z130" s="21"/>
      <c r="AP130" s="5"/>
      <c r="AQ130" s="5"/>
      <c r="AR130" s="5"/>
      <c r="AS130" s="5"/>
      <c r="AT130" s="5"/>
      <c r="AU130" s="5"/>
    </row>
    <row r="131" spans="2:47" x14ac:dyDescent="0.15">
      <c r="B131" s="23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Z131" s="21"/>
      <c r="AP131" s="5"/>
      <c r="AQ131" s="5"/>
      <c r="AR131" s="5"/>
      <c r="AS131" s="5"/>
      <c r="AT131" s="5"/>
      <c r="AU131" s="5"/>
    </row>
    <row r="132" spans="2:47" x14ac:dyDescent="0.15">
      <c r="B132" s="23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Z132" s="21"/>
      <c r="AP132" s="5"/>
      <c r="AQ132" s="5"/>
      <c r="AR132" s="5"/>
      <c r="AS132" s="5"/>
      <c r="AT132" s="5"/>
      <c r="AU132" s="5"/>
    </row>
    <row r="133" spans="2:47" x14ac:dyDescent="0.15">
      <c r="B133" s="23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Z133" s="21"/>
      <c r="AP133" s="5"/>
      <c r="AQ133" s="5"/>
      <c r="AR133" s="5"/>
      <c r="AS133" s="5"/>
      <c r="AT133" s="5"/>
      <c r="AU133" s="5"/>
    </row>
    <row r="134" spans="2:47" x14ac:dyDescent="0.15">
      <c r="B134" s="23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Z134" s="21"/>
      <c r="AP134" s="5"/>
      <c r="AQ134" s="5"/>
      <c r="AR134" s="5"/>
      <c r="AS134" s="5"/>
      <c r="AT134" s="5"/>
      <c r="AU134" s="5"/>
    </row>
    <row r="135" spans="2:47" x14ac:dyDescent="0.15">
      <c r="B135" s="23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Z135" s="21"/>
      <c r="AP135" s="5"/>
      <c r="AQ135" s="5"/>
      <c r="AR135" s="5"/>
      <c r="AS135" s="5"/>
      <c r="AT135" s="5"/>
      <c r="AU135" s="5"/>
    </row>
    <row r="136" spans="2:47" x14ac:dyDescent="0.15">
      <c r="B136" s="23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Z136" s="21"/>
      <c r="AP136" s="5"/>
      <c r="AQ136" s="5"/>
      <c r="AR136" s="5"/>
      <c r="AS136" s="5"/>
      <c r="AT136" s="5"/>
      <c r="AU136" s="5"/>
    </row>
    <row r="137" spans="2:47" x14ac:dyDescent="0.15">
      <c r="B137" s="23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Z137" s="21"/>
      <c r="AP137" s="5"/>
      <c r="AQ137" s="5"/>
      <c r="AR137" s="5"/>
      <c r="AS137" s="5"/>
      <c r="AT137" s="5"/>
      <c r="AU137" s="5"/>
    </row>
    <row r="138" spans="2:47" x14ac:dyDescent="0.15">
      <c r="B138" s="23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Z138" s="21"/>
      <c r="AP138" s="5"/>
      <c r="AQ138" s="5"/>
      <c r="AR138" s="5"/>
      <c r="AS138" s="5"/>
      <c r="AT138" s="5"/>
      <c r="AU138" s="5"/>
    </row>
    <row r="139" spans="2:47" x14ac:dyDescent="0.15">
      <c r="B139" s="23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Z139" s="21"/>
      <c r="AP139" s="5"/>
      <c r="AQ139" s="5"/>
      <c r="AR139" s="5"/>
      <c r="AS139" s="5"/>
      <c r="AT139" s="5"/>
      <c r="AU139" s="5"/>
    </row>
    <row r="140" spans="2:47" x14ac:dyDescent="0.15">
      <c r="B140" s="23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Z140" s="21"/>
      <c r="AP140" s="5"/>
      <c r="AQ140" s="5"/>
      <c r="AR140" s="5"/>
      <c r="AS140" s="5"/>
      <c r="AT140" s="5"/>
      <c r="AU140" s="5"/>
    </row>
    <row r="141" spans="2:47" x14ac:dyDescent="0.15">
      <c r="B141" s="23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Z141" s="21"/>
      <c r="AP141" s="5"/>
      <c r="AQ141" s="5"/>
      <c r="AR141" s="5"/>
      <c r="AS141" s="5"/>
      <c r="AT141" s="5"/>
      <c r="AU141" s="5"/>
    </row>
    <row r="142" spans="2:47" x14ac:dyDescent="0.15">
      <c r="B142" s="23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Z142" s="21"/>
      <c r="AP142" s="5"/>
      <c r="AQ142" s="5"/>
      <c r="AR142" s="5"/>
      <c r="AS142" s="5"/>
      <c r="AT142" s="5"/>
      <c r="AU142" s="5"/>
    </row>
    <row r="143" spans="2:47" x14ac:dyDescent="0.15">
      <c r="B143" s="23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Z143" s="21"/>
      <c r="AP143" s="5"/>
      <c r="AQ143" s="5"/>
      <c r="AR143" s="5"/>
      <c r="AS143" s="5"/>
      <c r="AT143" s="5"/>
      <c r="AU143" s="5"/>
    </row>
    <row r="144" spans="2:47" x14ac:dyDescent="0.15">
      <c r="B144" s="2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Z144" s="21"/>
      <c r="AP144" s="5"/>
      <c r="AQ144" s="5"/>
      <c r="AR144" s="5"/>
      <c r="AS144" s="5"/>
      <c r="AT144" s="5"/>
      <c r="AU144" s="5"/>
    </row>
    <row r="145" spans="2:47" x14ac:dyDescent="0.15">
      <c r="B145" s="2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Z145" s="21"/>
      <c r="AP145" s="5"/>
      <c r="AQ145" s="5"/>
      <c r="AR145" s="5"/>
      <c r="AS145" s="5"/>
      <c r="AT145" s="5"/>
      <c r="AU145" s="5"/>
    </row>
    <row r="146" spans="2:47" x14ac:dyDescent="0.15">
      <c r="B146" s="2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Z146" s="21"/>
      <c r="AP146" s="5"/>
      <c r="AQ146" s="5"/>
      <c r="AR146" s="5"/>
      <c r="AS146" s="5"/>
      <c r="AT146" s="5"/>
      <c r="AU146" s="5"/>
    </row>
    <row r="147" spans="2:47" x14ac:dyDescent="0.15">
      <c r="B147" s="2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Z147" s="21"/>
      <c r="AP147" s="5"/>
      <c r="AQ147" s="5"/>
      <c r="AR147" s="5"/>
      <c r="AS147" s="5"/>
      <c r="AT147" s="5"/>
      <c r="AU147" s="5"/>
    </row>
    <row r="148" spans="2:47" x14ac:dyDescent="0.15">
      <c r="B148" s="2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Z148" s="21"/>
      <c r="AP148" s="5"/>
      <c r="AQ148" s="5"/>
      <c r="AR148" s="5"/>
      <c r="AS148" s="5"/>
      <c r="AT148" s="5"/>
      <c r="AU148" s="5"/>
    </row>
    <row r="149" spans="2:47" x14ac:dyDescent="0.15">
      <c r="B149" s="2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Z149" s="21"/>
      <c r="AP149" s="5"/>
      <c r="AQ149" s="5"/>
      <c r="AR149" s="5"/>
      <c r="AS149" s="5"/>
      <c r="AT149" s="5"/>
      <c r="AU149" s="5"/>
    </row>
    <row r="150" spans="2:47" x14ac:dyDescent="0.15">
      <c r="B150" s="23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Z150" s="21"/>
      <c r="AP150" s="5"/>
      <c r="AQ150" s="5"/>
      <c r="AR150" s="5"/>
      <c r="AS150" s="5"/>
      <c r="AT150" s="5"/>
      <c r="AU150" s="5"/>
    </row>
    <row r="151" spans="2:47" x14ac:dyDescent="0.15">
      <c r="B151" s="23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Z151" s="21"/>
      <c r="AP151" s="5"/>
      <c r="AQ151" s="5"/>
      <c r="AR151" s="5"/>
      <c r="AS151" s="5"/>
      <c r="AT151" s="5"/>
      <c r="AU151" s="5"/>
    </row>
    <row r="152" spans="2:47" x14ac:dyDescent="0.15">
      <c r="B152" s="23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Z152" s="21"/>
      <c r="AP152" s="5"/>
      <c r="AQ152" s="5"/>
      <c r="AR152" s="5"/>
      <c r="AS152" s="5"/>
      <c r="AT152" s="5"/>
      <c r="AU152" s="5"/>
    </row>
    <row r="153" spans="2:47" x14ac:dyDescent="0.15">
      <c r="B153" s="23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Z153" s="21"/>
      <c r="AP153" s="5"/>
      <c r="AQ153" s="5"/>
      <c r="AR153" s="5"/>
      <c r="AS153" s="5"/>
      <c r="AT153" s="5"/>
      <c r="AU153" s="5"/>
    </row>
    <row r="154" spans="2:47" x14ac:dyDescent="0.15">
      <c r="B154" s="23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Z154" s="21"/>
      <c r="AP154" s="5"/>
      <c r="AQ154" s="5"/>
      <c r="AR154" s="5"/>
      <c r="AS154" s="5"/>
      <c r="AT154" s="5"/>
      <c r="AU154" s="5"/>
    </row>
    <row r="155" spans="2:47" x14ac:dyDescent="0.15">
      <c r="B155" s="23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Z155" s="21"/>
      <c r="AP155" s="5"/>
      <c r="AQ155" s="5"/>
      <c r="AR155" s="5"/>
      <c r="AS155" s="5"/>
      <c r="AT155" s="5"/>
      <c r="AU155" s="5"/>
    </row>
    <row r="156" spans="2:47" x14ac:dyDescent="0.15">
      <c r="B156" s="23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Z156" s="21"/>
      <c r="AP156" s="5"/>
      <c r="AQ156" s="5"/>
      <c r="AR156" s="5"/>
      <c r="AS156" s="5"/>
      <c r="AT156" s="5"/>
      <c r="AU156" s="5"/>
    </row>
    <row r="157" spans="2:47" x14ac:dyDescent="0.15">
      <c r="B157" s="23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Z157" s="21"/>
      <c r="AP157" s="5"/>
      <c r="AQ157" s="5"/>
      <c r="AR157" s="5"/>
      <c r="AS157" s="5"/>
      <c r="AT157" s="5"/>
      <c r="AU157" s="5"/>
    </row>
    <row r="158" spans="2:47" x14ac:dyDescent="0.15">
      <c r="B158" s="23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Z158" s="21"/>
      <c r="AP158" s="5"/>
      <c r="AQ158" s="5"/>
      <c r="AR158" s="5"/>
      <c r="AS158" s="5"/>
      <c r="AT158" s="5"/>
      <c r="AU158" s="5"/>
    </row>
    <row r="159" spans="2:47" x14ac:dyDescent="0.15">
      <c r="B159" s="23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Z159" s="21"/>
      <c r="AP159" s="5"/>
      <c r="AQ159" s="5"/>
      <c r="AR159" s="5"/>
      <c r="AS159" s="5"/>
      <c r="AT159" s="5"/>
      <c r="AU159" s="5"/>
    </row>
    <row r="160" spans="2:47" x14ac:dyDescent="0.15">
      <c r="B160" s="23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Z160" s="21"/>
      <c r="AP160" s="5"/>
      <c r="AQ160" s="5"/>
      <c r="AR160" s="5"/>
      <c r="AS160" s="5"/>
      <c r="AT160" s="5"/>
      <c r="AU160" s="5"/>
    </row>
    <row r="161" spans="2:47" x14ac:dyDescent="0.15">
      <c r="B161" s="23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Z161" s="21"/>
      <c r="AP161" s="5"/>
      <c r="AQ161" s="5"/>
      <c r="AR161" s="5"/>
      <c r="AS161" s="5"/>
      <c r="AT161" s="5"/>
      <c r="AU161" s="5"/>
    </row>
    <row r="162" spans="2:47" x14ac:dyDescent="0.15">
      <c r="B162" s="23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Z162" s="21"/>
      <c r="AP162" s="5"/>
      <c r="AQ162" s="5"/>
      <c r="AR162" s="5"/>
      <c r="AS162" s="5"/>
      <c r="AT162" s="5"/>
      <c r="AU162" s="5"/>
    </row>
    <row r="163" spans="2:47" x14ac:dyDescent="0.15">
      <c r="B163" s="23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Z163" s="21"/>
      <c r="AP163" s="5"/>
      <c r="AQ163" s="5"/>
      <c r="AR163" s="5"/>
      <c r="AS163" s="5"/>
      <c r="AT163" s="5"/>
      <c r="AU163" s="5"/>
    </row>
    <row r="164" spans="2:47" x14ac:dyDescent="0.15">
      <c r="B164" s="23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Z164" s="21"/>
      <c r="AP164" s="5"/>
      <c r="AQ164" s="5"/>
      <c r="AR164" s="5"/>
      <c r="AS164" s="5"/>
      <c r="AT164" s="5"/>
      <c r="AU164" s="5"/>
    </row>
    <row r="165" spans="2:47" x14ac:dyDescent="0.15">
      <c r="B165" s="23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Z165" s="21"/>
      <c r="AP165" s="5"/>
      <c r="AQ165" s="5"/>
      <c r="AR165" s="5"/>
      <c r="AS165" s="5"/>
      <c r="AT165" s="5"/>
      <c r="AU165" s="5"/>
    </row>
    <row r="166" spans="2:47" x14ac:dyDescent="0.15">
      <c r="B166" s="23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Z166" s="21"/>
      <c r="AP166" s="5"/>
      <c r="AQ166" s="5"/>
      <c r="AR166" s="5"/>
      <c r="AS166" s="5"/>
      <c r="AT166" s="5"/>
      <c r="AU166" s="5"/>
    </row>
    <row r="167" spans="2:47" x14ac:dyDescent="0.15">
      <c r="B167" s="23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Z167" s="21"/>
      <c r="AP167" s="5"/>
      <c r="AQ167" s="5"/>
      <c r="AR167" s="5"/>
      <c r="AS167" s="5"/>
      <c r="AT167" s="5"/>
      <c r="AU167" s="5"/>
    </row>
    <row r="168" spans="2:47" x14ac:dyDescent="0.15">
      <c r="B168" s="23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Z168" s="21"/>
      <c r="AP168" s="5"/>
      <c r="AQ168" s="5"/>
      <c r="AR168" s="5"/>
      <c r="AS168" s="5"/>
      <c r="AT168" s="5"/>
      <c r="AU168" s="5"/>
    </row>
    <row r="169" spans="2:47" x14ac:dyDescent="0.15">
      <c r="B169" s="23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Z169" s="21"/>
      <c r="AP169" s="5"/>
      <c r="AQ169" s="5"/>
      <c r="AR169" s="5"/>
      <c r="AS169" s="5"/>
      <c r="AT169" s="5"/>
      <c r="AU169" s="5"/>
    </row>
    <row r="170" spans="2:47" x14ac:dyDescent="0.15">
      <c r="B170" s="23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Z170" s="21"/>
      <c r="AP170" s="5"/>
      <c r="AQ170" s="5"/>
      <c r="AR170" s="5"/>
      <c r="AS170" s="5"/>
      <c r="AT170" s="5"/>
      <c r="AU170" s="5"/>
    </row>
    <row r="171" spans="2:47" x14ac:dyDescent="0.15">
      <c r="B171" s="23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Z171" s="21"/>
      <c r="AP171" s="5"/>
      <c r="AQ171" s="5"/>
      <c r="AR171" s="5"/>
      <c r="AS171" s="5"/>
      <c r="AT171" s="5"/>
      <c r="AU171" s="5"/>
    </row>
    <row r="172" spans="2:47" x14ac:dyDescent="0.15">
      <c r="B172" s="23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Z172" s="21"/>
      <c r="AP172" s="5"/>
      <c r="AQ172" s="5"/>
      <c r="AR172" s="5"/>
      <c r="AS172" s="5"/>
      <c r="AT172" s="5"/>
      <c r="AU172" s="5"/>
    </row>
    <row r="173" spans="2:47" x14ac:dyDescent="0.15">
      <c r="B173" s="23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Z173" s="21"/>
      <c r="AP173" s="5"/>
      <c r="AQ173" s="5"/>
      <c r="AR173" s="5"/>
      <c r="AS173" s="5"/>
      <c r="AT173" s="5"/>
      <c r="AU173" s="5"/>
    </row>
    <row r="174" spans="2:47" x14ac:dyDescent="0.15">
      <c r="B174" s="23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Z174" s="21"/>
      <c r="AP174" s="5"/>
      <c r="AQ174" s="5"/>
      <c r="AR174" s="5"/>
      <c r="AS174" s="5"/>
      <c r="AT174" s="5"/>
      <c r="AU174" s="5"/>
    </row>
    <row r="175" spans="2:47" x14ac:dyDescent="0.15">
      <c r="B175" s="23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Z175" s="21"/>
      <c r="AP175" s="5"/>
      <c r="AQ175" s="5"/>
      <c r="AR175" s="5"/>
      <c r="AS175" s="5"/>
      <c r="AT175" s="5"/>
      <c r="AU175" s="5"/>
    </row>
    <row r="176" spans="2:47" x14ac:dyDescent="0.15">
      <c r="B176" s="23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Z176" s="21"/>
      <c r="AP176" s="5"/>
      <c r="AQ176" s="5"/>
      <c r="AR176" s="5"/>
      <c r="AS176" s="5"/>
      <c r="AT176" s="5"/>
      <c r="AU176" s="5"/>
    </row>
    <row r="177" spans="2:47" x14ac:dyDescent="0.15">
      <c r="B177" s="23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Z177" s="21"/>
      <c r="AP177" s="5"/>
      <c r="AQ177" s="5"/>
      <c r="AR177" s="5"/>
      <c r="AS177" s="5"/>
      <c r="AT177" s="5"/>
      <c r="AU177" s="5"/>
    </row>
    <row r="178" spans="2:47" x14ac:dyDescent="0.15">
      <c r="B178" s="23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Z178" s="21"/>
      <c r="AP178" s="5"/>
      <c r="AQ178" s="5"/>
      <c r="AR178" s="5"/>
      <c r="AS178" s="5"/>
      <c r="AT178" s="5"/>
      <c r="AU178" s="5"/>
    </row>
    <row r="179" spans="2:47" x14ac:dyDescent="0.15">
      <c r="B179" s="23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Z179" s="21"/>
      <c r="AP179" s="5"/>
      <c r="AQ179" s="5"/>
      <c r="AR179" s="5"/>
      <c r="AS179" s="5"/>
      <c r="AT179" s="5"/>
      <c r="AU179" s="5"/>
    </row>
    <row r="180" spans="2:47" x14ac:dyDescent="0.15">
      <c r="B180" s="23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Z180" s="21"/>
      <c r="AP180" s="5"/>
      <c r="AQ180" s="5"/>
      <c r="AR180" s="5"/>
      <c r="AS180" s="5"/>
      <c r="AT180" s="5"/>
      <c r="AU180" s="5"/>
    </row>
    <row r="181" spans="2:47" x14ac:dyDescent="0.15">
      <c r="B181" s="23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Z181" s="21"/>
      <c r="AP181" s="5"/>
      <c r="AQ181" s="5"/>
      <c r="AR181" s="5"/>
      <c r="AS181" s="5"/>
      <c r="AT181" s="5"/>
      <c r="AU181" s="5"/>
    </row>
    <row r="182" spans="2:47" x14ac:dyDescent="0.15">
      <c r="B182" s="23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Z182" s="21"/>
      <c r="AP182" s="5"/>
      <c r="AQ182" s="5"/>
      <c r="AR182" s="5"/>
      <c r="AS182" s="5"/>
      <c r="AT182" s="5"/>
      <c r="AU182" s="5"/>
    </row>
    <row r="183" spans="2:47" x14ac:dyDescent="0.15">
      <c r="B183" s="23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Z183" s="21"/>
      <c r="AP183" s="5"/>
      <c r="AQ183" s="5"/>
      <c r="AR183" s="5"/>
      <c r="AS183" s="5"/>
      <c r="AT183" s="5"/>
      <c r="AU183" s="5"/>
    </row>
    <row r="184" spans="2:47" x14ac:dyDescent="0.15">
      <c r="B184" s="23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Z184" s="21"/>
      <c r="AP184" s="5"/>
      <c r="AQ184" s="5"/>
      <c r="AR184" s="5"/>
      <c r="AS184" s="5"/>
      <c r="AT184" s="5"/>
      <c r="AU184" s="5"/>
    </row>
    <row r="185" spans="2:47" x14ac:dyDescent="0.15">
      <c r="B185" s="23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Z185" s="21"/>
      <c r="AP185" s="5"/>
      <c r="AQ185" s="5"/>
      <c r="AR185" s="5"/>
      <c r="AS185" s="5"/>
      <c r="AT185" s="5"/>
      <c r="AU185" s="5"/>
    </row>
    <row r="186" spans="2:47" x14ac:dyDescent="0.15">
      <c r="B186" s="23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Z186" s="21"/>
      <c r="AP186" s="5"/>
      <c r="AQ186" s="5"/>
      <c r="AR186" s="5"/>
      <c r="AS186" s="5"/>
      <c r="AT186" s="5"/>
      <c r="AU186" s="5"/>
    </row>
    <row r="187" spans="2:47" x14ac:dyDescent="0.15">
      <c r="B187" s="23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Z187" s="21"/>
      <c r="AP187" s="5"/>
      <c r="AQ187" s="5"/>
      <c r="AR187" s="5"/>
      <c r="AS187" s="5"/>
      <c r="AT187" s="5"/>
      <c r="AU187" s="5"/>
    </row>
    <row r="188" spans="2:47" x14ac:dyDescent="0.15">
      <c r="B188" s="23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Z188" s="21"/>
      <c r="AP188" s="5"/>
      <c r="AQ188" s="5"/>
      <c r="AR188" s="5"/>
      <c r="AS188" s="5"/>
      <c r="AT188" s="5"/>
      <c r="AU188" s="5"/>
    </row>
    <row r="189" spans="2:47" x14ac:dyDescent="0.15">
      <c r="B189" s="23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Z189" s="21"/>
      <c r="AP189" s="5"/>
      <c r="AQ189" s="5"/>
      <c r="AR189" s="5"/>
      <c r="AS189" s="5"/>
      <c r="AT189" s="5"/>
      <c r="AU189" s="5"/>
    </row>
    <row r="190" spans="2:47" x14ac:dyDescent="0.15">
      <c r="B190" s="23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Z190" s="21"/>
      <c r="AP190" s="5"/>
      <c r="AQ190" s="5"/>
      <c r="AR190" s="5"/>
      <c r="AS190" s="5"/>
      <c r="AT190" s="5"/>
      <c r="AU190" s="5"/>
    </row>
    <row r="191" spans="2:47" x14ac:dyDescent="0.15">
      <c r="B191" s="23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Z191" s="21"/>
      <c r="AP191" s="5"/>
      <c r="AQ191" s="5"/>
      <c r="AR191" s="5"/>
      <c r="AS191" s="5"/>
      <c r="AT191" s="5"/>
      <c r="AU191" s="5"/>
    </row>
    <row r="192" spans="2:47" x14ac:dyDescent="0.15">
      <c r="B192" s="23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Z192" s="21"/>
      <c r="AP192" s="5"/>
      <c r="AQ192" s="5"/>
      <c r="AR192" s="5"/>
      <c r="AS192" s="5"/>
      <c r="AT192" s="5"/>
      <c r="AU192" s="5"/>
    </row>
    <row r="193" spans="2:47" x14ac:dyDescent="0.15">
      <c r="B193" s="23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Z193" s="21"/>
      <c r="AP193" s="5"/>
      <c r="AQ193" s="5"/>
      <c r="AR193" s="5"/>
      <c r="AS193" s="5"/>
      <c r="AT193" s="5"/>
      <c r="AU193" s="5"/>
    </row>
    <row r="194" spans="2:47" x14ac:dyDescent="0.15">
      <c r="B194" s="23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Z194" s="21"/>
      <c r="AP194" s="5"/>
      <c r="AQ194" s="5"/>
      <c r="AR194" s="5"/>
      <c r="AS194" s="5"/>
      <c r="AT194" s="5"/>
      <c r="AU194" s="5"/>
    </row>
    <row r="195" spans="2:47" x14ac:dyDescent="0.15">
      <c r="B195" s="23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Z195" s="21"/>
      <c r="AP195" s="5"/>
      <c r="AQ195" s="5"/>
      <c r="AR195" s="5"/>
      <c r="AS195" s="5"/>
      <c r="AT195" s="5"/>
      <c r="AU195" s="5"/>
    </row>
    <row r="196" spans="2:47" x14ac:dyDescent="0.15">
      <c r="B196" s="23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Z196" s="21"/>
      <c r="AP196" s="5"/>
      <c r="AQ196" s="5"/>
      <c r="AR196" s="5"/>
      <c r="AS196" s="5"/>
      <c r="AT196" s="5"/>
      <c r="AU196" s="5"/>
    </row>
    <row r="197" spans="2:47" x14ac:dyDescent="0.15">
      <c r="B197" s="23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Z197" s="21"/>
      <c r="AP197" s="5"/>
      <c r="AQ197" s="5"/>
      <c r="AR197" s="5"/>
      <c r="AS197" s="5"/>
      <c r="AT197" s="5"/>
      <c r="AU197" s="5"/>
    </row>
    <row r="198" spans="2:47" x14ac:dyDescent="0.15">
      <c r="B198" s="23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Z198" s="21"/>
      <c r="AP198" s="5"/>
      <c r="AQ198" s="5"/>
      <c r="AR198" s="5"/>
      <c r="AS198" s="5"/>
      <c r="AT198" s="5"/>
      <c r="AU198" s="5"/>
    </row>
    <row r="199" spans="2:47" x14ac:dyDescent="0.15">
      <c r="B199" s="23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Z199" s="21"/>
      <c r="AP199" s="5"/>
      <c r="AQ199" s="5"/>
      <c r="AR199" s="5"/>
      <c r="AS199" s="5"/>
      <c r="AT199" s="5"/>
      <c r="AU199" s="5"/>
    </row>
    <row r="200" spans="2:47" x14ac:dyDescent="0.15">
      <c r="B200" s="23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Z200" s="21"/>
      <c r="AP200" s="5"/>
      <c r="AQ200" s="5"/>
      <c r="AR200" s="5"/>
      <c r="AS200" s="5"/>
      <c r="AT200" s="5"/>
      <c r="AU200" s="5"/>
    </row>
    <row r="201" spans="2:47" x14ac:dyDescent="0.15">
      <c r="B201" s="23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Z201" s="21"/>
      <c r="AP201" s="5"/>
      <c r="AQ201" s="5"/>
      <c r="AR201" s="5"/>
      <c r="AS201" s="5"/>
      <c r="AT201" s="5"/>
      <c r="AU201" s="5"/>
    </row>
    <row r="202" spans="2:47" x14ac:dyDescent="0.15">
      <c r="B202" s="23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Z202" s="21"/>
      <c r="AP202" s="5"/>
      <c r="AQ202" s="5"/>
      <c r="AR202" s="5"/>
      <c r="AS202" s="5"/>
      <c r="AT202" s="5"/>
      <c r="AU202" s="5"/>
    </row>
    <row r="203" spans="2:47" x14ac:dyDescent="0.15">
      <c r="B203" s="23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Z203" s="21"/>
      <c r="AP203" s="5"/>
      <c r="AQ203" s="5"/>
      <c r="AR203" s="5"/>
      <c r="AS203" s="5"/>
      <c r="AT203" s="5"/>
      <c r="AU203" s="5"/>
    </row>
    <row r="204" spans="2:47" x14ac:dyDescent="0.15">
      <c r="B204" s="23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Z204" s="21"/>
      <c r="AP204" s="5"/>
      <c r="AQ204" s="5"/>
      <c r="AR204" s="5"/>
      <c r="AS204" s="5"/>
      <c r="AT204" s="5"/>
      <c r="AU204" s="5"/>
    </row>
    <row r="205" spans="2:47" x14ac:dyDescent="0.15">
      <c r="B205" s="23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Z205" s="21"/>
      <c r="AP205" s="5"/>
      <c r="AQ205" s="5"/>
      <c r="AR205" s="5"/>
      <c r="AS205" s="5"/>
      <c r="AT205" s="5"/>
      <c r="AU205" s="5"/>
    </row>
    <row r="206" spans="2:47" x14ac:dyDescent="0.15">
      <c r="B206" s="23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Z206" s="21"/>
      <c r="AP206" s="5"/>
      <c r="AQ206" s="5"/>
      <c r="AR206" s="5"/>
      <c r="AS206" s="5"/>
      <c r="AT206" s="5"/>
      <c r="AU206" s="5"/>
    </row>
    <row r="207" spans="2:47" x14ac:dyDescent="0.15">
      <c r="B207" s="23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Z207" s="21"/>
      <c r="AP207" s="5"/>
      <c r="AQ207" s="5"/>
      <c r="AR207" s="5"/>
      <c r="AS207" s="5"/>
      <c r="AT207" s="5"/>
      <c r="AU207" s="5"/>
    </row>
    <row r="208" spans="2:47" x14ac:dyDescent="0.15">
      <c r="B208" s="23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Z208" s="21"/>
      <c r="AP208" s="5"/>
      <c r="AQ208" s="5"/>
      <c r="AR208" s="5"/>
      <c r="AS208" s="5"/>
      <c r="AT208" s="5"/>
      <c r="AU208" s="5"/>
    </row>
    <row r="209" spans="2:47" x14ac:dyDescent="0.15">
      <c r="B209" s="23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Z209" s="21"/>
      <c r="AP209" s="5"/>
      <c r="AQ209" s="5"/>
      <c r="AR209" s="5"/>
      <c r="AS209" s="5"/>
      <c r="AT209" s="5"/>
      <c r="AU209" s="5"/>
    </row>
    <row r="210" spans="2:47" x14ac:dyDescent="0.15">
      <c r="B210" s="23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Z210" s="21"/>
      <c r="AP210" s="5"/>
      <c r="AQ210" s="5"/>
      <c r="AR210" s="5"/>
      <c r="AS210" s="5"/>
      <c r="AT210" s="5"/>
      <c r="AU210" s="5"/>
    </row>
    <row r="211" spans="2:47" x14ac:dyDescent="0.15">
      <c r="B211" s="23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Z211" s="21"/>
      <c r="AP211" s="5"/>
      <c r="AQ211" s="5"/>
      <c r="AR211" s="5"/>
      <c r="AS211" s="5"/>
      <c r="AT211" s="5"/>
      <c r="AU211" s="5"/>
    </row>
    <row r="212" spans="2:47" x14ac:dyDescent="0.15">
      <c r="B212" s="23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Z212" s="21"/>
      <c r="AP212" s="5"/>
      <c r="AQ212" s="5"/>
      <c r="AR212" s="5"/>
      <c r="AS212" s="5"/>
      <c r="AT212" s="5"/>
      <c r="AU212" s="5"/>
    </row>
    <row r="213" spans="2:47" x14ac:dyDescent="0.15">
      <c r="B213" s="23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Z213" s="21"/>
      <c r="AP213" s="5"/>
      <c r="AQ213" s="5"/>
      <c r="AR213" s="5"/>
      <c r="AS213" s="5"/>
      <c r="AT213" s="5"/>
      <c r="AU213" s="5"/>
    </row>
    <row r="214" spans="2:47" x14ac:dyDescent="0.15">
      <c r="B214" s="23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Z214" s="21"/>
      <c r="AP214" s="5"/>
      <c r="AQ214" s="5"/>
      <c r="AR214" s="5"/>
      <c r="AS214" s="5"/>
      <c r="AT214" s="5"/>
      <c r="AU214" s="5"/>
    </row>
    <row r="215" spans="2:47" x14ac:dyDescent="0.15">
      <c r="B215" s="23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Z215" s="21"/>
      <c r="AP215" s="5"/>
      <c r="AQ215" s="5"/>
      <c r="AR215" s="5"/>
      <c r="AS215" s="5"/>
      <c r="AT215" s="5"/>
      <c r="AU215" s="5"/>
    </row>
    <row r="216" spans="2:47" x14ac:dyDescent="0.15">
      <c r="B216" s="23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Z216" s="21"/>
      <c r="AP216" s="5"/>
      <c r="AQ216" s="5"/>
      <c r="AR216" s="5"/>
      <c r="AS216" s="5"/>
      <c r="AT216" s="5"/>
      <c r="AU216" s="5"/>
    </row>
    <row r="217" spans="2:47" x14ac:dyDescent="0.15">
      <c r="B217" s="23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Z217" s="21"/>
      <c r="AP217" s="5"/>
      <c r="AQ217" s="5"/>
      <c r="AR217" s="5"/>
      <c r="AS217" s="5"/>
      <c r="AT217" s="5"/>
      <c r="AU217" s="5"/>
    </row>
    <row r="218" spans="2:47" x14ac:dyDescent="0.15">
      <c r="B218" s="23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Z218" s="21"/>
      <c r="AP218" s="5"/>
      <c r="AQ218" s="5"/>
      <c r="AR218" s="5"/>
      <c r="AS218" s="5"/>
      <c r="AT218" s="5"/>
      <c r="AU218" s="5"/>
    </row>
    <row r="219" spans="2:47" x14ac:dyDescent="0.15">
      <c r="B219" s="23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Z219" s="21"/>
      <c r="AP219" s="5"/>
      <c r="AQ219" s="5"/>
      <c r="AR219" s="5"/>
      <c r="AS219" s="5"/>
      <c r="AT219" s="5"/>
      <c r="AU219" s="5"/>
    </row>
    <row r="220" spans="2:47" x14ac:dyDescent="0.15">
      <c r="B220" s="23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Z220" s="21"/>
      <c r="AP220" s="5"/>
      <c r="AQ220" s="5"/>
      <c r="AR220" s="5"/>
      <c r="AS220" s="5"/>
      <c r="AT220" s="5"/>
      <c r="AU220" s="5"/>
    </row>
    <row r="221" spans="2:47" x14ac:dyDescent="0.15">
      <c r="B221" s="23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Z221" s="21"/>
      <c r="AP221" s="5"/>
      <c r="AQ221" s="5"/>
      <c r="AR221" s="5"/>
      <c r="AS221" s="5"/>
      <c r="AT221" s="5"/>
      <c r="AU221" s="5"/>
    </row>
    <row r="222" spans="2:47" x14ac:dyDescent="0.15">
      <c r="B222" s="23"/>
      <c r="C222" s="2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Z222" s="21"/>
      <c r="AP222" s="5"/>
      <c r="AQ222" s="5"/>
      <c r="AR222" s="5"/>
      <c r="AS222" s="5"/>
      <c r="AT222" s="5"/>
      <c r="AU222" s="5"/>
    </row>
    <row r="223" spans="2:47" x14ac:dyDescent="0.15">
      <c r="B223" s="23"/>
      <c r="C223" s="2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Z223" s="21"/>
      <c r="AP223" s="5"/>
      <c r="AQ223" s="5"/>
      <c r="AR223" s="5"/>
      <c r="AS223" s="5"/>
      <c r="AT223" s="5"/>
      <c r="AU223" s="5"/>
    </row>
    <row r="224" spans="2:47" x14ac:dyDescent="0.15">
      <c r="B224" s="23"/>
      <c r="C224" s="2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Z224" s="21"/>
      <c r="AP224" s="5"/>
      <c r="AQ224" s="5"/>
      <c r="AR224" s="5"/>
      <c r="AS224" s="5"/>
      <c r="AT224" s="5"/>
      <c r="AU224" s="5"/>
    </row>
    <row r="225" spans="2:47" x14ac:dyDescent="0.15">
      <c r="B225" s="23"/>
      <c r="C225" s="2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Z225" s="21"/>
      <c r="AP225" s="5"/>
      <c r="AQ225" s="5"/>
      <c r="AR225" s="5"/>
      <c r="AS225" s="5"/>
      <c r="AT225" s="5"/>
      <c r="AU225" s="5"/>
    </row>
    <row r="226" spans="2:47" x14ac:dyDescent="0.15">
      <c r="B226" s="23"/>
      <c r="C226" s="2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Z226" s="21"/>
      <c r="AP226" s="5"/>
      <c r="AQ226" s="5"/>
      <c r="AR226" s="5"/>
      <c r="AS226" s="5"/>
      <c r="AT226" s="5"/>
      <c r="AU226" s="5"/>
    </row>
    <row r="227" spans="2:47" x14ac:dyDescent="0.15">
      <c r="B227" s="23"/>
      <c r="C227" s="2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Z227" s="21"/>
      <c r="AP227" s="5"/>
      <c r="AQ227" s="5"/>
      <c r="AR227" s="5"/>
      <c r="AS227" s="5"/>
      <c r="AT227" s="5"/>
      <c r="AU227" s="5"/>
    </row>
    <row r="228" spans="2:47" x14ac:dyDescent="0.15">
      <c r="B228" s="23"/>
      <c r="C228" s="2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Z228" s="21"/>
      <c r="AP228" s="5"/>
      <c r="AQ228" s="5"/>
      <c r="AR228" s="5"/>
      <c r="AS228" s="5"/>
      <c r="AT228" s="5"/>
      <c r="AU228" s="5"/>
    </row>
    <row r="229" spans="2:47" x14ac:dyDescent="0.15">
      <c r="B229" s="23"/>
      <c r="C229" s="2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Z229" s="21"/>
      <c r="AP229" s="5"/>
      <c r="AQ229" s="5"/>
      <c r="AR229" s="5"/>
      <c r="AS229" s="5"/>
      <c r="AT229" s="5"/>
      <c r="AU229" s="5"/>
    </row>
    <row r="230" spans="2:47" x14ac:dyDescent="0.15">
      <c r="B230" s="23"/>
      <c r="C230" s="2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Z230" s="21"/>
      <c r="AP230" s="5"/>
      <c r="AQ230" s="5"/>
      <c r="AR230" s="5"/>
      <c r="AS230" s="5"/>
      <c r="AT230" s="5"/>
      <c r="AU230" s="5"/>
    </row>
    <row r="231" spans="2:47" x14ac:dyDescent="0.15">
      <c r="B231" s="23"/>
      <c r="C231" s="2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Z231" s="21"/>
      <c r="AP231" s="5"/>
      <c r="AQ231" s="5"/>
      <c r="AR231" s="5"/>
      <c r="AS231" s="5"/>
      <c r="AT231" s="5"/>
      <c r="AU231" s="5"/>
    </row>
    <row r="232" spans="2:47" x14ac:dyDescent="0.15">
      <c r="B232" s="23"/>
      <c r="C232" s="2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Z232" s="21"/>
      <c r="AP232" s="5"/>
      <c r="AQ232" s="5"/>
      <c r="AR232" s="5"/>
      <c r="AS232" s="5"/>
      <c r="AT232" s="5"/>
      <c r="AU232" s="5"/>
    </row>
    <row r="233" spans="2:47" x14ac:dyDescent="0.15">
      <c r="B233" s="23"/>
      <c r="C233" s="2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Z233" s="21"/>
      <c r="AP233" s="5"/>
      <c r="AQ233" s="5"/>
      <c r="AR233" s="5"/>
      <c r="AS233" s="5"/>
      <c r="AT233" s="5"/>
      <c r="AU233" s="5"/>
    </row>
    <row r="234" spans="2:47" x14ac:dyDescent="0.15">
      <c r="B234" s="23"/>
      <c r="C234" s="2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Z234" s="21"/>
      <c r="AP234" s="5"/>
      <c r="AQ234" s="5"/>
      <c r="AR234" s="5"/>
      <c r="AS234" s="5"/>
      <c r="AT234" s="5"/>
      <c r="AU234" s="5"/>
    </row>
    <row r="235" spans="2:47" x14ac:dyDescent="0.15">
      <c r="B235" s="23"/>
      <c r="C235" s="2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Z235" s="21"/>
      <c r="AP235" s="5"/>
      <c r="AQ235" s="5"/>
      <c r="AR235" s="5"/>
      <c r="AS235" s="5"/>
      <c r="AT235" s="5"/>
      <c r="AU235" s="5"/>
    </row>
    <row r="236" spans="2:47" x14ac:dyDescent="0.15">
      <c r="B236" s="23"/>
      <c r="C236" s="2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Z236" s="21"/>
      <c r="AP236" s="5"/>
      <c r="AQ236" s="5"/>
      <c r="AR236" s="5"/>
      <c r="AS236" s="5"/>
      <c r="AT236" s="5"/>
      <c r="AU236" s="5"/>
    </row>
    <row r="237" spans="2:47" x14ac:dyDescent="0.15">
      <c r="B237" s="23"/>
      <c r="C237" s="2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Z237" s="21"/>
      <c r="AP237" s="5"/>
      <c r="AQ237" s="5"/>
      <c r="AR237" s="5"/>
      <c r="AS237" s="5"/>
      <c r="AT237" s="5"/>
      <c r="AU237" s="5"/>
    </row>
    <row r="238" spans="2:47" x14ac:dyDescent="0.15">
      <c r="B238" s="23"/>
      <c r="C238" s="2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Z238" s="21"/>
      <c r="AP238" s="5"/>
      <c r="AQ238" s="5"/>
      <c r="AR238" s="5"/>
      <c r="AS238" s="5"/>
      <c r="AT238" s="5"/>
      <c r="AU238" s="5"/>
    </row>
    <row r="239" spans="2:47" x14ac:dyDescent="0.15">
      <c r="B239" s="23"/>
      <c r="C239" s="2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Z239" s="21"/>
      <c r="AP239" s="5"/>
      <c r="AQ239" s="5"/>
      <c r="AR239" s="5"/>
      <c r="AS239" s="5"/>
      <c r="AT239" s="5"/>
      <c r="AU239" s="5"/>
    </row>
    <row r="240" spans="2:47" x14ac:dyDescent="0.15">
      <c r="B240" s="23"/>
      <c r="C240" s="2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Z240" s="21"/>
      <c r="AP240" s="5"/>
      <c r="AQ240" s="5"/>
      <c r="AR240" s="5"/>
      <c r="AS240" s="5"/>
      <c r="AT240" s="5"/>
      <c r="AU240" s="5"/>
    </row>
    <row r="241" spans="2:47" x14ac:dyDescent="0.15">
      <c r="B241" s="23"/>
      <c r="C241" s="2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Z241" s="21"/>
      <c r="AP241" s="5"/>
      <c r="AQ241" s="5"/>
      <c r="AR241" s="5"/>
      <c r="AS241" s="5"/>
      <c r="AT241" s="5"/>
      <c r="AU241" s="5"/>
    </row>
    <row r="242" spans="2:47" x14ac:dyDescent="0.15">
      <c r="B242" s="23"/>
      <c r="C242" s="2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Z242" s="21"/>
      <c r="AP242" s="5"/>
      <c r="AQ242" s="5"/>
      <c r="AR242" s="5"/>
      <c r="AS242" s="5"/>
      <c r="AT242" s="5"/>
      <c r="AU242" s="5"/>
    </row>
    <row r="243" spans="2:47" x14ac:dyDescent="0.15">
      <c r="B243" s="23"/>
      <c r="C243" s="2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Z243" s="21"/>
      <c r="AP243" s="5"/>
      <c r="AQ243" s="5"/>
      <c r="AR243" s="5"/>
      <c r="AS243" s="5"/>
      <c r="AT243" s="5"/>
      <c r="AU243" s="5"/>
    </row>
    <row r="244" spans="2:47" x14ac:dyDescent="0.15">
      <c r="B244" s="23"/>
      <c r="C244" s="2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Z244" s="21"/>
      <c r="AP244" s="5"/>
      <c r="AQ244" s="5"/>
      <c r="AR244" s="5"/>
      <c r="AS244" s="5"/>
      <c r="AT244" s="5"/>
      <c r="AU244" s="5"/>
    </row>
    <row r="245" spans="2:47" x14ac:dyDescent="0.15">
      <c r="B245" s="23"/>
      <c r="C245" s="2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Z245" s="21"/>
      <c r="AP245" s="5"/>
      <c r="AQ245" s="5"/>
      <c r="AR245" s="5"/>
      <c r="AS245" s="5"/>
      <c r="AT245" s="5"/>
      <c r="AU245" s="5"/>
    </row>
    <row r="246" spans="2:47" x14ac:dyDescent="0.15">
      <c r="B246" s="23"/>
      <c r="C246" s="2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Z246" s="21"/>
      <c r="AP246" s="5"/>
      <c r="AQ246" s="5"/>
      <c r="AR246" s="5"/>
      <c r="AS246" s="5"/>
      <c r="AT246" s="5"/>
      <c r="AU246" s="5"/>
    </row>
    <row r="247" spans="2:47" x14ac:dyDescent="0.15">
      <c r="B247" s="23"/>
      <c r="C247" s="2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Z247" s="21"/>
      <c r="AP247" s="5"/>
      <c r="AQ247" s="5"/>
      <c r="AR247" s="5"/>
      <c r="AS247" s="5"/>
      <c r="AT247" s="5"/>
      <c r="AU247" s="5"/>
    </row>
    <row r="248" spans="2:47" x14ac:dyDescent="0.15">
      <c r="B248" s="23"/>
      <c r="C248" s="2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Z248" s="21"/>
      <c r="AP248" s="5"/>
      <c r="AQ248" s="5"/>
      <c r="AR248" s="5"/>
      <c r="AS248" s="5"/>
      <c r="AT248" s="5"/>
      <c r="AU248" s="5"/>
    </row>
    <row r="249" spans="2:47" x14ac:dyDescent="0.15">
      <c r="B249" s="23"/>
      <c r="C249" s="2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Z249" s="21"/>
      <c r="AP249" s="5"/>
      <c r="AQ249" s="5"/>
      <c r="AR249" s="5"/>
      <c r="AS249" s="5"/>
      <c r="AT249" s="5"/>
      <c r="AU249" s="5"/>
    </row>
    <row r="250" spans="2:47" x14ac:dyDescent="0.15">
      <c r="B250" s="23"/>
      <c r="C250" s="2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Z250" s="21"/>
      <c r="AP250" s="5"/>
      <c r="AQ250" s="5"/>
      <c r="AR250" s="5"/>
      <c r="AS250" s="5"/>
      <c r="AT250" s="5"/>
      <c r="AU250" s="5"/>
    </row>
    <row r="251" spans="2:47" x14ac:dyDescent="0.15">
      <c r="B251" s="23"/>
      <c r="C251" s="2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Z251" s="21"/>
      <c r="AP251" s="5"/>
      <c r="AQ251" s="5"/>
      <c r="AR251" s="5"/>
      <c r="AS251" s="5"/>
      <c r="AT251" s="5"/>
      <c r="AU251" s="5"/>
    </row>
    <row r="252" spans="2:47" x14ac:dyDescent="0.15">
      <c r="B252" s="23"/>
      <c r="C252" s="2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Z252" s="21"/>
      <c r="AP252" s="5"/>
      <c r="AQ252" s="5"/>
      <c r="AR252" s="5"/>
      <c r="AS252" s="5"/>
      <c r="AT252" s="5"/>
      <c r="AU252" s="5"/>
    </row>
    <row r="253" spans="2:47" x14ac:dyDescent="0.15">
      <c r="B253" s="23"/>
      <c r="C253" s="2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Z253" s="21"/>
      <c r="AP253" s="5"/>
      <c r="AQ253" s="5"/>
      <c r="AR253" s="5"/>
      <c r="AS253" s="5"/>
      <c r="AT253" s="5"/>
      <c r="AU253" s="5"/>
    </row>
    <row r="254" spans="2:47" x14ac:dyDescent="0.15">
      <c r="B254" s="23"/>
      <c r="C254" s="2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Z254" s="21"/>
      <c r="AP254" s="5"/>
      <c r="AQ254" s="5"/>
      <c r="AR254" s="5"/>
      <c r="AS254" s="5"/>
      <c r="AT254" s="5"/>
      <c r="AU254" s="5"/>
    </row>
    <row r="255" spans="2:47" x14ac:dyDescent="0.15">
      <c r="B255" s="23"/>
      <c r="C255" s="2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Z255" s="21"/>
      <c r="AP255" s="5"/>
      <c r="AQ255" s="5"/>
      <c r="AR255" s="5"/>
      <c r="AS255" s="5"/>
      <c r="AT255" s="5"/>
      <c r="AU255" s="5"/>
    </row>
    <row r="256" spans="2:47" x14ac:dyDescent="0.15">
      <c r="B256" s="23"/>
      <c r="C256" s="2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Z256" s="21"/>
      <c r="AP256" s="5"/>
      <c r="AQ256" s="5"/>
      <c r="AR256" s="5"/>
      <c r="AS256" s="5"/>
      <c r="AT256" s="5"/>
      <c r="AU256" s="5"/>
    </row>
    <row r="257" spans="2:47" x14ac:dyDescent="0.15">
      <c r="B257" s="23"/>
      <c r="C257" s="2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Z257" s="21"/>
      <c r="AP257" s="5"/>
      <c r="AQ257" s="5"/>
      <c r="AR257" s="5"/>
      <c r="AS257" s="5"/>
      <c r="AT257" s="5"/>
      <c r="AU257" s="5"/>
    </row>
    <row r="258" spans="2:47" x14ac:dyDescent="0.15">
      <c r="B258" s="23"/>
      <c r="C258" s="2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Z258" s="21"/>
      <c r="AP258" s="5"/>
      <c r="AQ258" s="5"/>
      <c r="AR258" s="5"/>
      <c r="AS258" s="5"/>
      <c r="AT258" s="5"/>
      <c r="AU258" s="5"/>
    </row>
    <row r="259" spans="2:47" x14ac:dyDescent="0.15">
      <c r="B259" s="23"/>
      <c r="C259" s="2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Z259" s="21"/>
      <c r="AP259" s="5"/>
      <c r="AQ259" s="5"/>
      <c r="AR259" s="5"/>
      <c r="AS259" s="5"/>
      <c r="AT259" s="5"/>
      <c r="AU259" s="5"/>
    </row>
    <row r="260" spans="2:47" x14ac:dyDescent="0.15">
      <c r="B260" s="23"/>
      <c r="C260" s="2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Z260" s="21"/>
      <c r="AP260" s="5"/>
      <c r="AQ260" s="5"/>
      <c r="AR260" s="5"/>
      <c r="AS260" s="5"/>
      <c r="AT260" s="5"/>
      <c r="AU260" s="5"/>
    </row>
    <row r="261" spans="2:47" x14ac:dyDescent="0.15">
      <c r="B261" s="23"/>
      <c r="C261" s="2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Z261" s="21"/>
      <c r="AP261" s="5"/>
      <c r="AQ261" s="5"/>
      <c r="AR261" s="5"/>
      <c r="AS261" s="5"/>
      <c r="AT261" s="5"/>
      <c r="AU261" s="5"/>
    </row>
    <row r="262" spans="2:47" x14ac:dyDescent="0.15">
      <c r="B262" s="23"/>
      <c r="C262" s="2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Z262" s="21"/>
      <c r="AP262" s="5"/>
      <c r="AQ262" s="5"/>
      <c r="AR262" s="5"/>
      <c r="AS262" s="5"/>
      <c r="AT262" s="5"/>
      <c r="AU262" s="5"/>
    </row>
    <row r="263" spans="2:47" x14ac:dyDescent="0.15">
      <c r="B263" s="23"/>
      <c r="C263" s="2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Z263" s="21"/>
      <c r="AP263" s="5"/>
      <c r="AQ263" s="5"/>
      <c r="AR263" s="5"/>
      <c r="AS263" s="5"/>
      <c r="AT263" s="5"/>
      <c r="AU263" s="5"/>
    </row>
    <row r="264" spans="2:47" x14ac:dyDescent="0.15">
      <c r="B264" s="23"/>
      <c r="C264" s="2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Z264" s="21"/>
      <c r="AP264" s="5"/>
      <c r="AQ264" s="5"/>
      <c r="AR264" s="5"/>
      <c r="AS264" s="5"/>
      <c r="AT264" s="5"/>
      <c r="AU264" s="5"/>
    </row>
    <row r="265" spans="2:47" x14ac:dyDescent="0.15">
      <c r="B265" s="23"/>
      <c r="C265" s="2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Z265" s="21"/>
      <c r="AP265" s="5"/>
      <c r="AQ265" s="5"/>
      <c r="AR265" s="5"/>
      <c r="AS265" s="5"/>
      <c r="AT265" s="5"/>
      <c r="AU265" s="5"/>
    </row>
    <row r="266" spans="2:47" x14ac:dyDescent="0.15">
      <c r="B266" s="23"/>
      <c r="C266" s="2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Z266" s="21"/>
      <c r="AP266" s="5"/>
      <c r="AQ266" s="5"/>
      <c r="AR266" s="5"/>
      <c r="AS266" s="5"/>
      <c r="AT266" s="5"/>
      <c r="AU266" s="5"/>
    </row>
    <row r="267" spans="2:47" x14ac:dyDescent="0.15">
      <c r="B267" s="23"/>
      <c r="C267" s="2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Z267" s="21"/>
      <c r="AP267" s="5"/>
      <c r="AQ267" s="5"/>
      <c r="AR267" s="5"/>
      <c r="AS267" s="5"/>
      <c r="AT267" s="5"/>
      <c r="AU267" s="5"/>
    </row>
    <row r="268" spans="2:47" x14ac:dyDescent="0.15">
      <c r="B268" s="23"/>
      <c r="C268" s="2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Z268" s="21"/>
      <c r="AP268" s="5"/>
      <c r="AQ268" s="5"/>
      <c r="AR268" s="5"/>
      <c r="AS268" s="5"/>
      <c r="AT268" s="5"/>
      <c r="AU268" s="5"/>
    </row>
    <row r="269" spans="2:47" x14ac:dyDescent="0.15">
      <c r="B269" s="23"/>
      <c r="C269" s="2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Z269" s="21"/>
      <c r="AP269" s="5"/>
      <c r="AQ269" s="5"/>
      <c r="AR269" s="5"/>
      <c r="AS269" s="5"/>
      <c r="AT269" s="5"/>
      <c r="AU269" s="5"/>
    </row>
    <row r="270" spans="2:47" x14ac:dyDescent="0.15">
      <c r="B270" s="23"/>
      <c r="C270" s="2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Z270" s="21"/>
      <c r="AP270" s="5"/>
      <c r="AQ270" s="5"/>
      <c r="AR270" s="5"/>
      <c r="AS270" s="5"/>
      <c r="AT270" s="5"/>
      <c r="AU270" s="5"/>
    </row>
    <row r="271" spans="2:47" x14ac:dyDescent="0.15">
      <c r="B271" s="23"/>
      <c r="C271" s="2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Z271" s="21"/>
      <c r="AP271" s="5"/>
      <c r="AQ271" s="5"/>
      <c r="AR271" s="5"/>
      <c r="AS271" s="5"/>
      <c r="AT271" s="5"/>
      <c r="AU271" s="5"/>
    </row>
    <row r="272" spans="2:47" x14ac:dyDescent="0.15">
      <c r="B272" s="23"/>
      <c r="C272" s="2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Z272" s="21"/>
      <c r="AP272" s="5"/>
      <c r="AQ272" s="5"/>
      <c r="AR272" s="5"/>
      <c r="AS272" s="5"/>
      <c r="AT272" s="5"/>
      <c r="AU272" s="5"/>
    </row>
    <row r="273" spans="2:47" x14ac:dyDescent="0.15">
      <c r="B273" s="23"/>
      <c r="C273" s="2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Z273" s="21"/>
      <c r="AP273" s="5"/>
      <c r="AQ273" s="5"/>
      <c r="AR273" s="5"/>
      <c r="AS273" s="5"/>
      <c r="AT273" s="5"/>
      <c r="AU273" s="5"/>
    </row>
    <row r="274" spans="2:47" x14ac:dyDescent="0.15">
      <c r="B274" s="23"/>
      <c r="C274" s="2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Z274" s="21"/>
      <c r="AP274" s="5"/>
      <c r="AQ274" s="5"/>
      <c r="AR274" s="5"/>
      <c r="AS274" s="5"/>
      <c r="AT274" s="5"/>
      <c r="AU274" s="5"/>
    </row>
    <row r="275" spans="2:47" x14ac:dyDescent="0.15">
      <c r="B275" s="23"/>
      <c r="C275" s="2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Z275" s="21"/>
      <c r="AP275" s="5"/>
      <c r="AQ275" s="5"/>
      <c r="AR275" s="5"/>
      <c r="AS275" s="5"/>
      <c r="AT275" s="5"/>
      <c r="AU275" s="5"/>
    </row>
    <row r="276" spans="2:47" x14ac:dyDescent="0.15">
      <c r="B276" s="23"/>
      <c r="C276" s="2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Z276" s="21"/>
      <c r="AP276" s="5"/>
      <c r="AQ276" s="5"/>
      <c r="AR276" s="5"/>
      <c r="AS276" s="5"/>
      <c r="AT276" s="5"/>
      <c r="AU276" s="5"/>
    </row>
    <row r="277" spans="2:47" x14ac:dyDescent="0.15">
      <c r="B277" s="23"/>
      <c r="C277" s="2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Z277" s="21"/>
      <c r="AP277" s="5"/>
      <c r="AQ277" s="5"/>
      <c r="AR277" s="5"/>
      <c r="AS277" s="5"/>
      <c r="AT277" s="5"/>
      <c r="AU277" s="5"/>
    </row>
    <row r="278" spans="2:47" x14ac:dyDescent="0.15">
      <c r="B278" s="23"/>
      <c r="C278" s="2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Z278" s="21"/>
      <c r="AP278" s="5"/>
      <c r="AQ278" s="5"/>
      <c r="AR278" s="5"/>
      <c r="AS278" s="5"/>
      <c r="AT278" s="5"/>
      <c r="AU278" s="5"/>
    </row>
    <row r="279" spans="2:47" x14ac:dyDescent="0.15">
      <c r="B279" s="23"/>
      <c r="C279" s="2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Z279" s="21"/>
      <c r="AP279" s="5"/>
      <c r="AQ279" s="5"/>
      <c r="AR279" s="5"/>
      <c r="AS279" s="5"/>
      <c r="AT279" s="5"/>
      <c r="AU279" s="5"/>
    </row>
    <row r="280" spans="2:47" x14ac:dyDescent="0.15">
      <c r="B280" s="23"/>
      <c r="C280" s="2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Z280" s="21"/>
      <c r="AP280" s="5"/>
      <c r="AQ280" s="5"/>
      <c r="AR280" s="5"/>
      <c r="AS280" s="5"/>
      <c r="AT280" s="5"/>
      <c r="AU280" s="5"/>
    </row>
    <row r="281" spans="2:47" x14ac:dyDescent="0.15">
      <c r="B281" s="23"/>
      <c r="C281" s="2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Z281" s="21"/>
      <c r="AP281" s="5"/>
      <c r="AQ281" s="5"/>
      <c r="AR281" s="5"/>
      <c r="AS281" s="5"/>
      <c r="AT281" s="5"/>
      <c r="AU281" s="5"/>
    </row>
    <row r="282" spans="2:47" x14ac:dyDescent="0.15">
      <c r="B282" s="23"/>
      <c r="C282" s="2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Z282" s="21"/>
      <c r="AP282" s="5"/>
      <c r="AQ282" s="5"/>
      <c r="AR282" s="5"/>
      <c r="AS282" s="5"/>
      <c r="AT282" s="5"/>
      <c r="AU282" s="5"/>
    </row>
    <row r="283" spans="2:47" x14ac:dyDescent="0.15">
      <c r="B283" s="23"/>
      <c r="C283" s="2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Z283" s="21"/>
      <c r="AP283" s="5"/>
      <c r="AQ283" s="5"/>
      <c r="AR283" s="5"/>
      <c r="AS283" s="5"/>
      <c r="AT283" s="5"/>
      <c r="AU283" s="5"/>
    </row>
    <row r="284" spans="2:47" x14ac:dyDescent="0.15">
      <c r="B284" s="23"/>
      <c r="C284" s="2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Z284" s="21"/>
      <c r="AP284" s="5"/>
      <c r="AQ284" s="5"/>
      <c r="AR284" s="5"/>
      <c r="AS284" s="5"/>
      <c r="AT284" s="5"/>
      <c r="AU284" s="5"/>
    </row>
    <row r="285" spans="2:47" x14ac:dyDescent="0.15">
      <c r="B285" s="23"/>
      <c r="C285" s="2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Z285" s="21"/>
      <c r="AP285" s="5"/>
      <c r="AQ285" s="5"/>
      <c r="AR285" s="5"/>
      <c r="AS285" s="5"/>
      <c r="AT285" s="5"/>
      <c r="AU285" s="5"/>
    </row>
    <row r="286" spans="2:47" x14ac:dyDescent="0.15">
      <c r="B286" s="23"/>
      <c r="C286" s="2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Z286" s="21"/>
      <c r="AP286" s="5"/>
      <c r="AQ286" s="5"/>
      <c r="AR286" s="5"/>
      <c r="AS286" s="5"/>
      <c r="AT286" s="5"/>
      <c r="AU286" s="5"/>
    </row>
    <row r="287" spans="2:47" x14ac:dyDescent="0.15">
      <c r="B287" s="23"/>
      <c r="C287" s="2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Z287" s="21"/>
      <c r="AP287" s="5"/>
      <c r="AQ287" s="5"/>
      <c r="AR287" s="5"/>
      <c r="AS287" s="5"/>
      <c r="AT287" s="5"/>
      <c r="AU287" s="5"/>
    </row>
    <row r="288" spans="2:47" x14ac:dyDescent="0.15">
      <c r="B288" s="23"/>
      <c r="C288" s="2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Z288" s="21"/>
      <c r="AP288" s="5"/>
      <c r="AQ288" s="5"/>
      <c r="AR288" s="5"/>
      <c r="AS288" s="5"/>
      <c r="AT288" s="5"/>
      <c r="AU288" s="5"/>
    </row>
    <row r="289" spans="2:47" x14ac:dyDescent="0.15">
      <c r="B289" s="23"/>
      <c r="C289" s="2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Z289" s="21"/>
      <c r="AP289" s="5"/>
      <c r="AQ289" s="5"/>
      <c r="AR289" s="5"/>
      <c r="AS289" s="5"/>
      <c r="AT289" s="5"/>
      <c r="AU289" s="5"/>
    </row>
    <row r="290" spans="2:47" x14ac:dyDescent="0.15">
      <c r="B290" s="23"/>
      <c r="C290" s="2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Z290" s="21"/>
      <c r="AP290" s="5"/>
      <c r="AQ290" s="5"/>
      <c r="AR290" s="5"/>
      <c r="AS290" s="5"/>
      <c r="AT290" s="5"/>
      <c r="AU290" s="5"/>
    </row>
    <row r="291" spans="2:47" x14ac:dyDescent="0.15">
      <c r="B291" s="23"/>
      <c r="C291" s="2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Z291" s="21"/>
      <c r="AP291" s="5"/>
      <c r="AQ291" s="5"/>
      <c r="AR291" s="5"/>
      <c r="AS291" s="5"/>
      <c r="AT291" s="5"/>
      <c r="AU291" s="5"/>
    </row>
    <row r="292" spans="2:47" x14ac:dyDescent="0.15">
      <c r="B292" s="23"/>
      <c r="C292" s="2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Z292" s="21"/>
      <c r="AP292" s="5"/>
      <c r="AQ292" s="5"/>
      <c r="AR292" s="5"/>
      <c r="AS292" s="5"/>
      <c r="AT292" s="5"/>
      <c r="AU292" s="5"/>
    </row>
    <row r="293" spans="2:47" x14ac:dyDescent="0.15">
      <c r="B293" s="23"/>
      <c r="C293" s="2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Z293" s="21"/>
      <c r="AP293" s="5"/>
      <c r="AQ293" s="5"/>
      <c r="AR293" s="5"/>
      <c r="AS293" s="5"/>
      <c r="AT293" s="5"/>
      <c r="AU293" s="5"/>
    </row>
    <row r="294" spans="2:47" x14ac:dyDescent="0.15">
      <c r="B294" s="23"/>
      <c r="C294" s="2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Z294" s="21"/>
      <c r="AP294" s="5"/>
      <c r="AQ294" s="5"/>
      <c r="AR294" s="5"/>
      <c r="AS294" s="5"/>
      <c r="AT294" s="5"/>
      <c r="AU294" s="5"/>
    </row>
    <row r="295" spans="2:47" x14ac:dyDescent="0.15">
      <c r="B295" s="23"/>
      <c r="C295" s="2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Z295" s="21"/>
      <c r="AP295" s="5"/>
      <c r="AQ295" s="5"/>
      <c r="AR295" s="5"/>
      <c r="AS295" s="5"/>
      <c r="AT295" s="5"/>
      <c r="AU295" s="5"/>
    </row>
    <row r="296" spans="2:47" x14ac:dyDescent="0.15">
      <c r="B296" s="23"/>
      <c r="C296" s="2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Z296" s="21"/>
      <c r="AP296" s="5"/>
      <c r="AQ296" s="5"/>
      <c r="AR296" s="5"/>
      <c r="AS296" s="5"/>
      <c r="AT296" s="5"/>
      <c r="AU296" s="5"/>
    </row>
    <row r="297" spans="2:47" x14ac:dyDescent="0.15">
      <c r="B297" s="23"/>
      <c r="C297" s="2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Z297" s="21"/>
      <c r="AP297" s="5"/>
      <c r="AQ297" s="5"/>
      <c r="AR297" s="5"/>
      <c r="AS297" s="5"/>
      <c r="AT297" s="5"/>
      <c r="AU297" s="5"/>
    </row>
    <row r="298" spans="2:47" x14ac:dyDescent="0.15">
      <c r="B298" s="23"/>
      <c r="C298" s="2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Z298" s="21"/>
      <c r="AP298" s="5"/>
      <c r="AQ298" s="5"/>
      <c r="AR298" s="5"/>
      <c r="AS298" s="5"/>
      <c r="AT298" s="5"/>
      <c r="AU298" s="5"/>
    </row>
    <row r="299" spans="2:47" x14ac:dyDescent="0.15">
      <c r="B299" s="23"/>
      <c r="C299" s="2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Z299" s="21"/>
      <c r="AP299" s="5"/>
      <c r="AQ299" s="5"/>
      <c r="AR299" s="5"/>
      <c r="AS299" s="5"/>
      <c r="AT299" s="5"/>
      <c r="AU299" s="5"/>
    </row>
    <row r="300" spans="2:47" x14ac:dyDescent="0.15">
      <c r="B300" s="23"/>
      <c r="C300" s="2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Z300" s="21"/>
      <c r="AP300" s="5"/>
      <c r="AQ300" s="5"/>
      <c r="AR300" s="5"/>
      <c r="AS300" s="5"/>
      <c r="AT300" s="5"/>
      <c r="AU300" s="5"/>
    </row>
    <row r="301" spans="2:47" x14ac:dyDescent="0.15">
      <c r="B301" s="23"/>
      <c r="C301" s="2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Z301" s="21"/>
      <c r="AP301" s="5"/>
      <c r="AQ301" s="5"/>
      <c r="AR301" s="5"/>
      <c r="AS301" s="5"/>
      <c r="AT301" s="5"/>
      <c r="AU301" s="5"/>
    </row>
    <row r="302" spans="2:47" x14ac:dyDescent="0.15">
      <c r="B302" s="23"/>
      <c r="C302" s="2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Z302" s="21"/>
      <c r="AP302" s="5"/>
      <c r="AQ302" s="5"/>
      <c r="AR302" s="5"/>
      <c r="AS302" s="5"/>
      <c r="AT302" s="5"/>
      <c r="AU302" s="5"/>
    </row>
    <row r="303" spans="2:47" x14ac:dyDescent="0.15">
      <c r="B303" s="23"/>
      <c r="C303" s="2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Z303" s="21"/>
      <c r="AP303" s="5"/>
      <c r="AQ303" s="5"/>
      <c r="AR303" s="5"/>
      <c r="AS303" s="5"/>
      <c r="AT303" s="5"/>
      <c r="AU303" s="5"/>
    </row>
    <row r="304" spans="2:47" x14ac:dyDescent="0.15">
      <c r="B304" s="23"/>
      <c r="C304" s="2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Z304" s="21"/>
      <c r="AP304" s="5"/>
      <c r="AQ304" s="5"/>
      <c r="AR304" s="5"/>
      <c r="AS304" s="5"/>
      <c r="AT304" s="5"/>
      <c r="AU304" s="5"/>
    </row>
    <row r="305" spans="2:47" x14ac:dyDescent="0.15">
      <c r="B305" s="23"/>
      <c r="C305" s="2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Z305" s="21"/>
      <c r="AP305" s="5"/>
      <c r="AQ305" s="5"/>
      <c r="AR305" s="5"/>
      <c r="AS305" s="5"/>
      <c r="AT305" s="5"/>
      <c r="AU305" s="5"/>
    </row>
    <row r="306" spans="2:47" x14ac:dyDescent="0.15">
      <c r="B306" s="23"/>
      <c r="C306" s="2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Z306" s="21"/>
      <c r="AP306" s="5"/>
      <c r="AQ306" s="5"/>
      <c r="AR306" s="5"/>
      <c r="AS306" s="5"/>
      <c r="AT306" s="5"/>
      <c r="AU306" s="5"/>
    </row>
    <row r="307" spans="2:47" x14ac:dyDescent="0.15">
      <c r="B307" s="23"/>
      <c r="C307" s="2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Z307" s="21"/>
      <c r="AP307" s="5"/>
      <c r="AQ307" s="5"/>
      <c r="AR307" s="5"/>
      <c r="AS307" s="5"/>
      <c r="AT307" s="5"/>
      <c r="AU307" s="5"/>
    </row>
    <row r="308" spans="2:47" x14ac:dyDescent="0.15">
      <c r="B308" s="23"/>
      <c r="C308" s="2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Z308" s="21"/>
      <c r="AP308" s="5"/>
      <c r="AQ308" s="5"/>
      <c r="AR308" s="5"/>
      <c r="AS308" s="5"/>
      <c r="AT308" s="5"/>
      <c r="AU308" s="5"/>
    </row>
    <row r="309" spans="2:47" x14ac:dyDescent="0.15">
      <c r="B309" s="23"/>
      <c r="C309" s="2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Z309" s="21"/>
      <c r="AP309" s="5"/>
      <c r="AQ309" s="5"/>
      <c r="AR309" s="5"/>
      <c r="AS309" s="5"/>
      <c r="AT309" s="5"/>
      <c r="AU309" s="5"/>
    </row>
    <row r="310" spans="2:47" x14ac:dyDescent="0.15">
      <c r="B310" s="23"/>
      <c r="C310" s="2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Z310" s="21"/>
      <c r="AP310" s="5"/>
      <c r="AQ310" s="5"/>
      <c r="AR310" s="5"/>
      <c r="AS310" s="5"/>
      <c r="AT310" s="5"/>
      <c r="AU310" s="5"/>
    </row>
    <row r="311" spans="2:47" x14ac:dyDescent="0.15">
      <c r="B311" s="23"/>
      <c r="C311" s="2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Z311" s="21"/>
      <c r="AP311" s="5"/>
      <c r="AQ311" s="5"/>
      <c r="AR311" s="5"/>
      <c r="AS311" s="5"/>
      <c r="AT311" s="5"/>
      <c r="AU311" s="5"/>
    </row>
    <row r="312" spans="2:47" x14ac:dyDescent="0.15">
      <c r="B312" s="23"/>
      <c r="C312" s="2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Z312" s="21"/>
      <c r="AP312" s="5"/>
      <c r="AQ312" s="5"/>
      <c r="AR312" s="5"/>
      <c r="AS312" s="5"/>
      <c r="AT312" s="5"/>
      <c r="AU312" s="5"/>
    </row>
    <row r="313" spans="2:47" x14ac:dyDescent="0.15">
      <c r="B313" s="23"/>
      <c r="C313" s="2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Z313" s="21"/>
      <c r="AP313" s="5"/>
      <c r="AQ313" s="5"/>
      <c r="AR313" s="5"/>
      <c r="AS313" s="5"/>
      <c r="AT313" s="5"/>
      <c r="AU313" s="5"/>
    </row>
    <row r="314" spans="2:47" x14ac:dyDescent="0.15">
      <c r="B314" s="23"/>
      <c r="C314" s="2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Z314" s="21"/>
      <c r="AP314" s="5"/>
      <c r="AQ314" s="5"/>
      <c r="AR314" s="5"/>
      <c r="AS314" s="5"/>
      <c r="AT314" s="5"/>
      <c r="AU314" s="5"/>
    </row>
    <row r="315" spans="2:47" x14ac:dyDescent="0.15">
      <c r="B315" s="23"/>
      <c r="C315" s="2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Z315" s="21"/>
      <c r="AP315" s="5"/>
      <c r="AQ315" s="5"/>
      <c r="AR315" s="5"/>
      <c r="AS315" s="5"/>
      <c r="AT315" s="5"/>
      <c r="AU315" s="5"/>
    </row>
    <row r="316" spans="2:47" x14ac:dyDescent="0.15">
      <c r="B316" s="23"/>
      <c r="C316" s="2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Z316" s="21"/>
      <c r="AP316" s="5"/>
      <c r="AQ316" s="5"/>
      <c r="AR316" s="5"/>
      <c r="AS316" s="5"/>
      <c r="AT316" s="5"/>
      <c r="AU316" s="5"/>
    </row>
    <row r="317" spans="2:47" x14ac:dyDescent="0.15">
      <c r="B317" s="23"/>
      <c r="C317" s="2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Z317" s="21"/>
      <c r="AP317" s="5"/>
      <c r="AQ317" s="5"/>
      <c r="AR317" s="5"/>
      <c r="AS317" s="5"/>
      <c r="AT317" s="5"/>
      <c r="AU317" s="5"/>
    </row>
    <row r="318" spans="2:47" x14ac:dyDescent="0.15">
      <c r="B318" s="23"/>
      <c r="C318" s="2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Z318" s="21"/>
      <c r="AP318" s="5"/>
      <c r="AQ318" s="5"/>
      <c r="AR318" s="5"/>
      <c r="AS318" s="5"/>
      <c r="AT318" s="5"/>
      <c r="AU318" s="5"/>
    </row>
    <row r="319" spans="2:47" x14ac:dyDescent="0.15">
      <c r="B319" s="23"/>
      <c r="C319" s="2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Z319" s="21"/>
      <c r="AP319" s="5"/>
      <c r="AQ319" s="5"/>
      <c r="AR319" s="5"/>
      <c r="AS319" s="5"/>
      <c r="AT319" s="5"/>
      <c r="AU319" s="5"/>
    </row>
    <row r="320" spans="2:47" x14ac:dyDescent="0.15">
      <c r="B320" s="23"/>
      <c r="C320" s="2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Z320" s="21"/>
      <c r="AP320" s="5"/>
      <c r="AQ320" s="5"/>
      <c r="AR320" s="5"/>
      <c r="AS320" s="5"/>
      <c r="AT320" s="5"/>
      <c r="AU320" s="5"/>
    </row>
    <row r="321" spans="2:47" x14ac:dyDescent="0.15">
      <c r="B321" s="23"/>
      <c r="C321" s="2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Z321" s="21"/>
      <c r="AP321" s="5"/>
      <c r="AQ321" s="5"/>
      <c r="AR321" s="5"/>
      <c r="AS321" s="5"/>
      <c r="AT321" s="5"/>
      <c r="AU321" s="5"/>
    </row>
    <row r="322" spans="2:47" x14ac:dyDescent="0.15">
      <c r="B322" s="23"/>
      <c r="C322" s="2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Z322" s="21"/>
      <c r="AP322" s="5"/>
      <c r="AQ322" s="5"/>
      <c r="AR322" s="5"/>
      <c r="AS322" s="5"/>
      <c r="AT322" s="5"/>
      <c r="AU322" s="5"/>
    </row>
    <row r="323" spans="2:47" x14ac:dyDescent="0.15">
      <c r="B323" s="23"/>
      <c r="C323" s="2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Z323" s="21"/>
      <c r="AP323" s="5"/>
      <c r="AQ323" s="5"/>
      <c r="AR323" s="5"/>
      <c r="AS323" s="5"/>
      <c r="AT323" s="5"/>
      <c r="AU323" s="5"/>
    </row>
    <row r="324" spans="2:47" x14ac:dyDescent="0.15">
      <c r="B324" s="23"/>
      <c r="C324" s="2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Z324" s="21"/>
      <c r="AP324" s="5"/>
      <c r="AQ324" s="5"/>
      <c r="AR324" s="5"/>
      <c r="AS324" s="5"/>
      <c r="AT324" s="5"/>
      <c r="AU324" s="5"/>
    </row>
    <row r="325" spans="2:47" x14ac:dyDescent="0.15">
      <c r="B325" s="23"/>
      <c r="C325" s="2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Z325" s="21"/>
      <c r="AP325" s="5"/>
      <c r="AQ325" s="5"/>
      <c r="AR325" s="5"/>
      <c r="AS325" s="5"/>
      <c r="AT325" s="5"/>
      <c r="AU325" s="5"/>
    </row>
    <row r="326" spans="2:47" x14ac:dyDescent="0.15">
      <c r="B326" s="23"/>
      <c r="C326" s="2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Z326" s="21"/>
      <c r="AP326" s="5"/>
      <c r="AQ326" s="5"/>
      <c r="AR326" s="5"/>
      <c r="AS326" s="5"/>
      <c r="AT326" s="5"/>
      <c r="AU326" s="5"/>
    </row>
    <row r="327" spans="2:47" x14ac:dyDescent="0.15">
      <c r="B327" s="23"/>
      <c r="C327" s="2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Z327" s="21"/>
      <c r="AP327" s="5"/>
      <c r="AQ327" s="5"/>
      <c r="AR327" s="5"/>
      <c r="AS327" s="5"/>
      <c r="AT327" s="5"/>
      <c r="AU327" s="5"/>
    </row>
    <row r="328" spans="2:47" x14ac:dyDescent="0.15">
      <c r="B328" s="23"/>
      <c r="C328" s="2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Z328" s="21"/>
      <c r="AP328" s="5"/>
      <c r="AQ328" s="5"/>
      <c r="AR328" s="5"/>
      <c r="AS328" s="5"/>
      <c r="AT328" s="5"/>
      <c r="AU328" s="5"/>
    </row>
    <row r="329" spans="2:47" x14ac:dyDescent="0.15">
      <c r="B329" s="23"/>
      <c r="C329" s="2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Z329" s="21"/>
      <c r="AP329" s="5"/>
      <c r="AQ329" s="5"/>
      <c r="AR329" s="5"/>
      <c r="AS329" s="5"/>
      <c r="AT329" s="5"/>
      <c r="AU329" s="5"/>
    </row>
    <row r="330" spans="2:47" x14ac:dyDescent="0.15">
      <c r="B330" s="23"/>
      <c r="C330" s="2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Z330" s="21"/>
      <c r="AP330" s="5"/>
      <c r="AQ330" s="5"/>
      <c r="AR330" s="5"/>
      <c r="AS330" s="5"/>
      <c r="AT330" s="5"/>
      <c r="AU330" s="5"/>
    </row>
    <row r="331" spans="2:47" x14ac:dyDescent="0.15">
      <c r="B331" s="23"/>
      <c r="C331" s="2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Z331" s="21"/>
      <c r="AP331" s="5"/>
      <c r="AQ331" s="5"/>
      <c r="AR331" s="5"/>
      <c r="AS331" s="5"/>
      <c r="AT331" s="5"/>
      <c r="AU331" s="5"/>
    </row>
    <row r="332" spans="2:47" x14ac:dyDescent="0.15">
      <c r="B332" s="23"/>
      <c r="C332" s="2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Z332" s="21"/>
      <c r="AP332" s="5"/>
      <c r="AQ332" s="5"/>
      <c r="AR332" s="5"/>
      <c r="AS332" s="5"/>
      <c r="AT332" s="5"/>
      <c r="AU332" s="5"/>
    </row>
    <row r="333" spans="2:47" x14ac:dyDescent="0.15">
      <c r="B333" s="23"/>
      <c r="C333" s="2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Z333" s="21"/>
      <c r="AP333" s="5"/>
      <c r="AQ333" s="5"/>
      <c r="AR333" s="5"/>
      <c r="AS333" s="5"/>
      <c r="AT333" s="5"/>
      <c r="AU333" s="5"/>
    </row>
    <row r="334" spans="2:47" x14ac:dyDescent="0.15">
      <c r="B334" s="23"/>
      <c r="C334" s="2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Z334" s="21"/>
      <c r="AP334" s="5"/>
      <c r="AQ334" s="5"/>
      <c r="AR334" s="5"/>
      <c r="AS334" s="5"/>
      <c r="AT334" s="5"/>
      <c r="AU334" s="5"/>
    </row>
    <row r="335" spans="2:47" x14ac:dyDescent="0.15">
      <c r="B335" s="23"/>
      <c r="C335" s="2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Z335" s="21"/>
      <c r="AP335" s="5"/>
      <c r="AQ335" s="5"/>
      <c r="AR335" s="5"/>
      <c r="AS335" s="5"/>
      <c r="AT335" s="5"/>
      <c r="AU335" s="5"/>
    </row>
    <row r="336" spans="2:47" x14ac:dyDescent="0.15">
      <c r="B336" s="23"/>
      <c r="C336" s="2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Z336" s="21"/>
      <c r="AP336" s="5"/>
      <c r="AQ336" s="5"/>
      <c r="AR336" s="5"/>
      <c r="AS336" s="5"/>
      <c r="AT336" s="5"/>
      <c r="AU336" s="5"/>
    </row>
    <row r="337" spans="2:47" x14ac:dyDescent="0.15">
      <c r="B337" s="23"/>
      <c r="C337" s="2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Z337" s="21"/>
      <c r="AP337" s="5"/>
      <c r="AQ337" s="5"/>
      <c r="AR337" s="5"/>
      <c r="AS337" s="5"/>
      <c r="AT337" s="5"/>
      <c r="AU337" s="5"/>
    </row>
    <row r="338" spans="2:47" x14ac:dyDescent="0.15">
      <c r="B338" s="23"/>
      <c r="C338" s="2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Z338" s="21"/>
      <c r="AP338" s="5"/>
      <c r="AQ338" s="5"/>
      <c r="AR338" s="5"/>
      <c r="AS338" s="5"/>
      <c r="AT338" s="5"/>
      <c r="AU338" s="5"/>
    </row>
    <row r="339" spans="2:47" x14ac:dyDescent="0.15">
      <c r="B339" s="23"/>
      <c r="C339" s="2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Z339" s="21"/>
      <c r="AP339" s="5"/>
      <c r="AQ339" s="5"/>
      <c r="AR339" s="5"/>
      <c r="AS339" s="5"/>
      <c r="AT339" s="5"/>
      <c r="AU339" s="5"/>
    </row>
    <row r="340" spans="2:47" x14ac:dyDescent="0.15">
      <c r="B340" s="23"/>
      <c r="C340" s="2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Z340" s="21"/>
      <c r="AP340" s="5"/>
      <c r="AQ340" s="5"/>
      <c r="AR340" s="5"/>
      <c r="AS340" s="5"/>
      <c r="AT340" s="5"/>
      <c r="AU340" s="5"/>
    </row>
    <row r="341" spans="2:47" x14ac:dyDescent="0.15">
      <c r="B341" s="23"/>
      <c r="C341" s="2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Z341" s="21"/>
      <c r="AP341" s="5"/>
      <c r="AQ341" s="5"/>
      <c r="AR341" s="5"/>
      <c r="AS341" s="5"/>
      <c r="AT341" s="5"/>
      <c r="AU341" s="5"/>
    </row>
    <row r="342" spans="2:47" x14ac:dyDescent="0.15">
      <c r="B342" s="23"/>
      <c r="C342" s="2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Z342" s="21"/>
      <c r="AP342" s="5"/>
      <c r="AQ342" s="5"/>
      <c r="AR342" s="5"/>
      <c r="AS342" s="5"/>
      <c r="AT342" s="5"/>
      <c r="AU342" s="5"/>
    </row>
    <row r="343" spans="2:47" x14ac:dyDescent="0.15">
      <c r="B343" s="23"/>
      <c r="C343" s="2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Z343" s="21"/>
      <c r="AP343" s="5"/>
      <c r="AQ343" s="5"/>
      <c r="AR343" s="5"/>
      <c r="AS343" s="5"/>
      <c r="AT343" s="5"/>
      <c r="AU343" s="5"/>
    </row>
    <row r="344" spans="2:47" x14ac:dyDescent="0.15">
      <c r="B344" s="23"/>
      <c r="C344" s="2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Z344" s="21"/>
      <c r="AP344" s="5"/>
      <c r="AQ344" s="5"/>
      <c r="AR344" s="5"/>
      <c r="AS344" s="5"/>
      <c r="AT344" s="5"/>
      <c r="AU344" s="5"/>
    </row>
    <row r="345" spans="2:47" x14ac:dyDescent="0.15">
      <c r="B345" s="23"/>
      <c r="C345" s="2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Z345" s="21"/>
      <c r="AP345" s="5"/>
      <c r="AQ345" s="5"/>
      <c r="AR345" s="5"/>
      <c r="AS345" s="5"/>
      <c r="AT345" s="5"/>
      <c r="AU345" s="5"/>
    </row>
    <row r="346" spans="2:47" x14ac:dyDescent="0.15">
      <c r="B346" s="23"/>
      <c r="C346" s="2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Z346" s="21"/>
      <c r="AP346" s="5"/>
      <c r="AQ346" s="5"/>
      <c r="AR346" s="5"/>
      <c r="AS346" s="5"/>
      <c r="AT346" s="5"/>
      <c r="AU346" s="5"/>
    </row>
    <row r="347" spans="2:47" x14ac:dyDescent="0.15">
      <c r="B347" s="23"/>
      <c r="C347" s="2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Z347" s="21"/>
      <c r="AP347" s="5"/>
      <c r="AQ347" s="5"/>
      <c r="AR347" s="5"/>
      <c r="AS347" s="5"/>
      <c r="AT347" s="5"/>
      <c r="AU347" s="5"/>
    </row>
    <row r="348" spans="2:47" x14ac:dyDescent="0.15">
      <c r="B348" s="23"/>
      <c r="C348" s="2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Z348" s="21"/>
      <c r="AP348" s="5"/>
      <c r="AQ348" s="5"/>
      <c r="AR348" s="5"/>
      <c r="AS348" s="5"/>
      <c r="AT348" s="5"/>
      <c r="AU348" s="5"/>
    </row>
    <row r="349" spans="2:47" x14ac:dyDescent="0.15">
      <c r="B349" s="23"/>
      <c r="C349" s="2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Z349" s="21"/>
      <c r="AP349" s="5"/>
      <c r="AQ349" s="5"/>
      <c r="AR349" s="5"/>
      <c r="AS349" s="5"/>
      <c r="AT349" s="5"/>
      <c r="AU349" s="5"/>
    </row>
    <row r="350" spans="2:47" x14ac:dyDescent="0.15">
      <c r="B350" s="23"/>
      <c r="C350" s="2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Z350" s="21"/>
      <c r="AP350" s="5"/>
      <c r="AQ350" s="5"/>
      <c r="AR350" s="5"/>
      <c r="AS350" s="5"/>
      <c r="AT350" s="5"/>
      <c r="AU350" s="5"/>
    </row>
    <row r="351" spans="2:47" x14ac:dyDescent="0.15">
      <c r="B351" s="23"/>
      <c r="C351" s="2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Z351" s="21"/>
      <c r="AP351" s="5"/>
      <c r="AQ351" s="5"/>
      <c r="AR351" s="5"/>
      <c r="AS351" s="5"/>
      <c r="AT351" s="5"/>
      <c r="AU351" s="5"/>
    </row>
    <row r="352" spans="2:47" x14ac:dyDescent="0.15">
      <c r="B352" s="23"/>
      <c r="C352" s="2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Z352" s="21"/>
      <c r="AP352" s="5"/>
      <c r="AQ352" s="5"/>
      <c r="AR352" s="5"/>
      <c r="AS352" s="5"/>
      <c r="AT352" s="5"/>
      <c r="AU352" s="5"/>
    </row>
    <row r="353" spans="2:47" x14ac:dyDescent="0.15">
      <c r="B353" s="23"/>
      <c r="C353" s="2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Z353" s="21"/>
      <c r="AP353" s="5"/>
      <c r="AQ353" s="5"/>
      <c r="AR353" s="5"/>
      <c r="AS353" s="5"/>
      <c r="AT353" s="5"/>
      <c r="AU353" s="5"/>
    </row>
    <row r="354" spans="2:47" x14ac:dyDescent="0.15">
      <c r="B354" s="23"/>
      <c r="C354" s="2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Z354" s="21"/>
      <c r="AP354" s="5"/>
      <c r="AQ354" s="5"/>
      <c r="AR354" s="5"/>
      <c r="AS354" s="5"/>
      <c r="AT354" s="5"/>
      <c r="AU354" s="5"/>
    </row>
    <row r="355" spans="2:47" x14ac:dyDescent="0.15">
      <c r="B355" s="23"/>
      <c r="C355" s="2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Z355" s="21"/>
      <c r="AP355" s="5"/>
      <c r="AQ355" s="5"/>
      <c r="AR355" s="5"/>
      <c r="AS355" s="5"/>
      <c r="AT355" s="5"/>
      <c r="AU355" s="5"/>
    </row>
    <row r="356" spans="2:47" x14ac:dyDescent="0.15">
      <c r="B356" s="23"/>
      <c r="C356" s="2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Z356" s="21"/>
      <c r="AP356" s="5"/>
      <c r="AQ356" s="5"/>
      <c r="AR356" s="5"/>
      <c r="AS356" s="5"/>
      <c r="AT356" s="5"/>
      <c r="AU356" s="5"/>
    </row>
    <row r="357" spans="2:47" x14ac:dyDescent="0.15">
      <c r="B357" s="23"/>
      <c r="C357" s="2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Z357" s="21"/>
      <c r="AP357" s="5"/>
      <c r="AQ357" s="5"/>
      <c r="AR357" s="5"/>
      <c r="AS357" s="5"/>
      <c r="AT357" s="5"/>
      <c r="AU357" s="5"/>
    </row>
    <row r="358" spans="2:47" x14ac:dyDescent="0.15">
      <c r="B358" s="23"/>
      <c r="C358" s="2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Z358" s="21"/>
      <c r="AP358" s="5"/>
      <c r="AQ358" s="5"/>
      <c r="AR358" s="5"/>
      <c r="AS358" s="5"/>
      <c r="AT358" s="5"/>
      <c r="AU358" s="5"/>
    </row>
    <row r="359" spans="2:47" x14ac:dyDescent="0.15">
      <c r="B359" s="23"/>
      <c r="C359" s="2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Z359" s="21"/>
      <c r="AP359" s="5"/>
      <c r="AQ359" s="5"/>
      <c r="AR359" s="5"/>
      <c r="AS359" s="5"/>
      <c r="AT359" s="5"/>
      <c r="AU359" s="5"/>
    </row>
    <row r="360" spans="2:47" x14ac:dyDescent="0.15">
      <c r="B360" s="23"/>
      <c r="C360" s="2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Z360" s="21"/>
      <c r="AP360" s="5"/>
      <c r="AQ360" s="5"/>
      <c r="AR360" s="5"/>
      <c r="AS360" s="5"/>
      <c r="AT360" s="5"/>
      <c r="AU360" s="5"/>
    </row>
    <row r="361" spans="2:47" x14ac:dyDescent="0.15">
      <c r="B361" s="23"/>
      <c r="C361" s="2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Z361" s="21"/>
      <c r="AP361" s="5"/>
      <c r="AQ361" s="5"/>
      <c r="AR361" s="5"/>
      <c r="AS361" s="5"/>
      <c r="AT361" s="5"/>
      <c r="AU361" s="5"/>
    </row>
    <row r="362" spans="2:47" x14ac:dyDescent="0.15">
      <c r="B362" s="23"/>
      <c r="C362" s="2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Z362" s="21"/>
      <c r="AP362" s="5"/>
      <c r="AQ362" s="5"/>
      <c r="AR362" s="5"/>
      <c r="AS362" s="5"/>
      <c r="AT362" s="5"/>
      <c r="AU362" s="5"/>
    </row>
    <row r="363" spans="2:47" x14ac:dyDescent="0.15">
      <c r="B363" s="23"/>
      <c r="C363" s="2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Z363" s="21"/>
      <c r="AP363" s="5"/>
      <c r="AQ363" s="5"/>
      <c r="AR363" s="5"/>
      <c r="AS363" s="5"/>
      <c r="AT363" s="5"/>
      <c r="AU363" s="5"/>
    </row>
    <row r="364" spans="2:47" x14ac:dyDescent="0.15">
      <c r="B364" s="23"/>
      <c r="C364" s="2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Z364" s="21"/>
      <c r="AP364" s="5"/>
      <c r="AQ364" s="5"/>
      <c r="AR364" s="5"/>
      <c r="AS364" s="5"/>
      <c r="AT364" s="5"/>
      <c r="AU364" s="5"/>
    </row>
    <row r="365" spans="2:47" x14ac:dyDescent="0.15">
      <c r="B365" s="23"/>
      <c r="C365" s="2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Z365" s="21"/>
      <c r="AP365" s="5"/>
      <c r="AQ365" s="5"/>
      <c r="AR365" s="5"/>
      <c r="AS365" s="5"/>
      <c r="AT365" s="5"/>
      <c r="AU365" s="5"/>
    </row>
    <row r="366" spans="2:47" x14ac:dyDescent="0.15">
      <c r="B366" s="23"/>
      <c r="C366" s="2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Z366" s="21"/>
      <c r="AP366" s="5"/>
      <c r="AQ366" s="5"/>
      <c r="AR366" s="5"/>
      <c r="AS366" s="5"/>
      <c r="AT366" s="5"/>
      <c r="AU366" s="5"/>
    </row>
    <row r="367" spans="2:47" x14ac:dyDescent="0.15">
      <c r="B367" s="23"/>
      <c r="C367" s="2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Z367" s="21"/>
      <c r="AP367" s="5"/>
      <c r="AQ367" s="5"/>
      <c r="AR367" s="5"/>
      <c r="AS367" s="5"/>
      <c r="AT367" s="5"/>
      <c r="AU367" s="5"/>
    </row>
    <row r="368" spans="2:47" x14ac:dyDescent="0.15">
      <c r="B368" s="23"/>
      <c r="C368" s="2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Z368" s="21"/>
      <c r="AP368" s="5"/>
      <c r="AQ368" s="5"/>
      <c r="AR368" s="5"/>
      <c r="AS368" s="5"/>
      <c r="AT368" s="5"/>
      <c r="AU368" s="5"/>
    </row>
    <row r="369" spans="2:47" x14ac:dyDescent="0.15">
      <c r="B369" s="23"/>
      <c r="C369" s="2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Z369" s="21"/>
      <c r="AP369" s="5"/>
      <c r="AQ369" s="5"/>
      <c r="AR369" s="5"/>
      <c r="AS369" s="5"/>
      <c r="AT369" s="5"/>
      <c r="AU369" s="5"/>
    </row>
    <row r="370" spans="2:47" x14ac:dyDescent="0.15">
      <c r="B370" s="23"/>
      <c r="C370" s="2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Z370" s="21"/>
      <c r="AP370" s="5"/>
      <c r="AQ370" s="5"/>
      <c r="AR370" s="5"/>
      <c r="AS370" s="5"/>
      <c r="AT370" s="5"/>
      <c r="AU370" s="5"/>
    </row>
    <row r="371" spans="2:47" x14ac:dyDescent="0.15">
      <c r="B371" s="23"/>
      <c r="C371" s="2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Z371" s="21"/>
      <c r="AP371" s="5"/>
      <c r="AQ371" s="5"/>
      <c r="AR371" s="5"/>
      <c r="AS371" s="5"/>
      <c r="AT371" s="5"/>
      <c r="AU371" s="5"/>
    </row>
    <row r="372" spans="2:47" x14ac:dyDescent="0.15">
      <c r="B372" s="23"/>
      <c r="C372" s="2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Z372" s="21"/>
      <c r="AP372" s="5"/>
      <c r="AQ372" s="5"/>
      <c r="AR372" s="5"/>
      <c r="AS372" s="5"/>
      <c r="AT372" s="5"/>
      <c r="AU372" s="5"/>
    </row>
    <row r="373" spans="2:47" x14ac:dyDescent="0.15">
      <c r="B373" s="23"/>
      <c r="C373" s="2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Z373" s="21"/>
      <c r="AP373" s="5"/>
      <c r="AQ373" s="5"/>
      <c r="AR373" s="5"/>
      <c r="AS373" s="5"/>
      <c r="AT373" s="5"/>
      <c r="AU373" s="5"/>
    </row>
    <row r="374" spans="2:47" x14ac:dyDescent="0.15">
      <c r="B374" s="23"/>
      <c r="C374" s="2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Z374" s="21"/>
      <c r="AP374" s="5"/>
      <c r="AQ374" s="5"/>
      <c r="AR374" s="5"/>
      <c r="AS374" s="5"/>
      <c r="AT374" s="5"/>
      <c r="AU374" s="5"/>
    </row>
    <row r="375" spans="2:47" x14ac:dyDescent="0.15">
      <c r="B375" s="23"/>
      <c r="C375" s="2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Z375" s="21"/>
      <c r="AP375" s="5"/>
      <c r="AQ375" s="5"/>
      <c r="AR375" s="5"/>
      <c r="AS375" s="5"/>
      <c r="AT375" s="5"/>
      <c r="AU375" s="5"/>
    </row>
    <row r="376" spans="2:47" x14ac:dyDescent="0.15">
      <c r="B376" s="23"/>
      <c r="C376" s="2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Z376" s="21"/>
      <c r="AP376" s="5"/>
      <c r="AQ376" s="5"/>
      <c r="AR376" s="5"/>
      <c r="AS376" s="5"/>
      <c r="AT376" s="5"/>
      <c r="AU376" s="5"/>
    </row>
    <row r="377" spans="2:47" x14ac:dyDescent="0.15">
      <c r="B377" s="23"/>
      <c r="C377" s="2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Z377" s="21"/>
      <c r="AP377" s="5"/>
      <c r="AQ377" s="5"/>
      <c r="AR377" s="5"/>
      <c r="AS377" s="5"/>
      <c r="AT377" s="5"/>
      <c r="AU377" s="5"/>
    </row>
    <row r="378" spans="2:47" x14ac:dyDescent="0.15">
      <c r="B378" s="23"/>
      <c r="C378" s="2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Z378" s="21"/>
      <c r="AP378" s="5"/>
      <c r="AQ378" s="5"/>
      <c r="AR378" s="5"/>
      <c r="AS378" s="5"/>
      <c r="AT378" s="5"/>
      <c r="AU378" s="5"/>
    </row>
    <row r="379" spans="2:47" x14ac:dyDescent="0.15">
      <c r="B379" s="23"/>
      <c r="C379" s="2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Z379" s="21"/>
      <c r="AP379" s="5"/>
      <c r="AQ379" s="5"/>
      <c r="AR379" s="5"/>
      <c r="AS379" s="5"/>
      <c r="AT379" s="5"/>
      <c r="AU379" s="5"/>
    </row>
    <row r="380" spans="2:47" x14ac:dyDescent="0.15">
      <c r="B380" s="23"/>
      <c r="C380" s="2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Z380" s="21"/>
      <c r="AP380" s="5"/>
      <c r="AQ380" s="5"/>
      <c r="AR380" s="5"/>
      <c r="AS380" s="5"/>
      <c r="AT380" s="5"/>
      <c r="AU380" s="5"/>
    </row>
    <row r="381" spans="2:47" x14ac:dyDescent="0.15">
      <c r="B381" s="23"/>
      <c r="C381" s="2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Z381" s="21"/>
      <c r="AP381" s="5"/>
      <c r="AQ381" s="5"/>
      <c r="AR381" s="5"/>
      <c r="AS381" s="5"/>
      <c r="AT381" s="5"/>
      <c r="AU381" s="5"/>
    </row>
    <row r="382" spans="2:47" x14ac:dyDescent="0.15">
      <c r="B382" s="23"/>
      <c r="C382" s="2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Z382" s="21"/>
      <c r="AP382" s="5"/>
      <c r="AQ382" s="5"/>
      <c r="AR382" s="5"/>
      <c r="AS382" s="5"/>
      <c r="AT382" s="5"/>
      <c r="AU382" s="5"/>
    </row>
    <row r="383" spans="2:47" x14ac:dyDescent="0.15">
      <c r="B383" s="23"/>
      <c r="C383" s="2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Z383" s="21"/>
      <c r="AP383" s="5"/>
      <c r="AQ383" s="5"/>
      <c r="AR383" s="5"/>
      <c r="AS383" s="5"/>
      <c r="AT383" s="5"/>
      <c r="AU383" s="5"/>
    </row>
    <row r="384" spans="2:47" x14ac:dyDescent="0.15">
      <c r="B384" s="23"/>
      <c r="C384" s="2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Z384" s="21"/>
      <c r="AP384" s="5"/>
      <c r="AQ384" s="5"/>
      <c r="AR384" s="5"/>
      <c r="AS384" s="5"/>
      <c r="AT384" s="5"/>
      <c r="AU384" s="5"/>
    </row>
    <row r="385" spans="2:47" x14ac:dyDescent="0.15">
      <c r="B385" s="23"/>
      <c r="C385" s="2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Z385" s="21"/>
      <c r="AP385" s="5"/>
      <c r="AQ385" s="5"/>
      <c r="AR385" s="5"/>
      <c r="AS385" s="5"/>
      <c r="AT385" s="5"/>
      <c r="AU385" s="5"/>
    </row>
    <row r="386" spans="2:47" x14ac:dyDescent="0.15">
      <c r="B386" s="23"/>
      <c r="C386" s="2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Z386" s="21"/>
      <c r="AP386" s="5"/>
      <c r="AQ386" s="5"/>
      <c r="AR386" s="5"/>
      <c r="AS386" s="5"/>
      <c r="AT386" s="5"/>
      <c r="AU386" s="5"/>
    </row>
    <row r="387" spans="2:47" x14ac:dyDescent="0.15">
      <c r="B387" s="23"/>
      <c r="C387" s="2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Z387" s="21"/>
      <c r="AP387" s="5"/>
      <c r="AQ387" s="5"/>
      <c r="AR387" s="5"/>
      <c r="AS387" s="5"/>
      <c r="AT387" s="5"/>
      <c r="AU387" s="5"/>
    </row>
    <row r="388" spans="2:47" x14ac:dyDescent="0.15">
      <c r="B388" s="23"/>
      <c r="C388" s="2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Z388" s="21"/>
      <c r="AP388" s="5"/>
      <c r="AQ388" s="5"/>
      <c r="AR388" s="5"/>
      <c r="AS388" s="5"/>
      <c r="AT388" s="5"/>
      <c r="AU388" s="5"/>
    </row>
    <row r="389" spans="2:47" x14ac:dyDescent="0.15">
      <c r="B389" s="23"/>
      <c r="C389" s="2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Z389" s="21"/>
      <c r="AP389" s="5"/>
      <c r="AQ389" s="5"/>
      <c r="AR389" s="5"/>
      <c r="AS389" s="5"/>
      <c r="AT389" s="5"/>
      <c r="AU389" s="5"/>
    </row>
    <row r="390" spans="2:47" x14ac:dyDescent="0.15">
      <c r="B390" s="23"/>
      <c r="C390" s="2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Z390" s="21"/>
      <c r="AP390" s="5"/>
      <c r="AQ390" s="5"/>
      <c r="AR390" s="5"/>
      <c r="AS390" s="5"/>
      <c r="AT390" s="5"/>
      <c r="AU390" s="5"/>
    </row>
    <row r="391" spans="2:47" x14ac:dyDescent="0.15">
      <c r="B391" s="23"/>
      <c r="C391" s="2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Z391" s="21"/>
      <c r="AP391" s="5"/>
      <c r="AQ391" s="5"/>
      <c r="AR391" s="5"/>
      <c r="AS391" s="5"/>
      <c r="AT391" s="5"/>
      <c r="AU391" s="5"/>
    </row>
    <row r="392" spans="2:47" x14ac:dyDescent="0.15">
      <c r="B392" s="23"/>
      <c r="C392" s="2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Z392" s="21"/>
      <c r="AP392" s="5"/>
      <c r="AQ392" s="5"/>
      <c r="AR392" s="5"/>
      <c r="AS392" s="5"/>
      <c r="AT392" s="5"/>
      <c r="AU392" s="5"/>
    </row>
    <row r="393" spans="2:47" x14ac:dyDescent="0.15">
      <c r="B393" s="23"/>
      <c r="C393" s="2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Z393" s="21"/>
      <c r="AP393" s="5"/>
      <c r="AQ393" s="5"/>
      <c r="AR393" s="5"/>
      <c r="AS393" s="5"/>
      <c r="AT393" s="5"/>
      <c r="AU393" s="5"/>
    </row>
    <row r="394" spans="2:47" x14ac:dyDescent="0.15">
      <c r="B394" s="23"/>
      <c r="C394" s="2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Z394" s="21"/>
      <c r="AP394" s="5"/>
      <c r="AQ394" s="5"/>
      <c r="AR394" s="5"/>
      <c r="AS394" s="5"/>
      <c r="AT394" s="5"/>
      <c r="AU394" s="5"/>
    </row>
    <row r="395" spans="2:47" x14ac:dyDescent="0.15">
      <c r="B395" s="23"/>
      <c r="C395" s="2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Z395" s="21"/>
      <c r="AP395" s="5"/>
      <c r="AQ395" s="5"/>
      <c r="AR395" s="5"/>
      <c r="AS395" s="5"/>
      <c r="AT395" s="5"/>
      <c r="AU395" s="5"/>
    </row>
    <row r="396" spans="2:47" x14ac:dyDescent="0.15">
      <c r="B396" s="23"/>
      <c r="C396" s="2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Z396" s="21"/>
      <c r="AP396" s="5"/>
      <c r="AQ396" s="5"/>
      <c r="AR396" s="5"/>
      <c r="AS396" s="5"/>
      <c r="AT396" s="5"/>
      <c r="AU396" s="5"/>
    </row>
    <row r="397" spans="2:47" x14ac:dyDescent="0.15">
      <c r="B397" s="23"/>
      <c r="C397" s="2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Z397" s="21"/>
      <c r="AP397" s="5"/>
      <c r="AQ397" s="5"/>
      <c r="AR397" s="5"/>
      <c r="AS397" s="5"/>
      <c r="AT397" s="5"/>
      <c r="AU397" s="5"/>
    </row>
    <row r="398" spans="2:47" x14ac:dyDescent="0.15">
      <c r="B398" s="23"/>
      <c r="C398" s="2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Z398" s="21"/>
      <c r="AP398" s="5"/>
      <c r="AQ398" s="5"/>
      <c r="AR398" s="5"/>
      <c r="AS398" s="5"/>
      <c r="AT398" s="5"/>
      <c r="AU398" s="5"/>
    </row>
    <row r="399" spans="2:47" x14ac:dyDescent="0.15">
      <c r="B399" s="23"/>
      <c r="C399" s="2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Z399" s="21"/>
      <c r="AP399" s="5"/>
      <c r="AQ399" s="5"/>
      <c r="AR399" s="5"/>
      <c r="AS399" s="5"/>
      <c r="AT399" s="5"/>
      <c r="AU399" s="5"/>
    </row>
    <row r="400" spans="2:47" x14ac:dyDescent="0.15">
      <c r="B400" s="23"/>
      <c r="C400" s="2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Z400" s="21"/>
      <c r="AP400" s="5"/>
      <c r="AQ400" s="5"/>
      <c r="AR400" s="5"/>
      <c r="AS400" s="5"/>
      <c r="AT400" s="5"/>
      <c r="AU400" s="5"/>
    </row>
    <row r="401" spans="2:47" x14ac:dyDescent="0.15">
      <c r="B401" s="23"/>
      <c r="C401" s="2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Z401" s="21"/>
      <c r="AP401" s="5"/>
      <c r="AQ401" s="5"/>
      <c r="AR401" s="5"/>
      <c r="AS401" s="5"/>
      <c r="AT401" s="5"/>
      <c r="AU401" s="5"/>
    </row>
    <row r="402" spans="2:47" x14ac:dyDescent="0.15">
      <c r="B402" s="23"/>
      <c r="C402" s="2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Z402" s="21"/>
      <c r="AP402" s="5"/>
      <c r="AQ402" s="5"/>
      <c r="AR402" s="5"/>
      <c r="AS402" s="5"/>
      <c r="AT402" s="5"/>
      <c r="AU402" s="5"/>
    </row>
    <row r="403" spans="2:47" x14ac:dyDescent="0.15">
      <c r="B403" s="23"/>
      <c r="C403" s="2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Z403" s="21"/>
      <c r="AP403" s="5"/>
      <c r="AQ403" s="5"/>
      <c r="AR403" s="5"/>
      <c r="AS403" s="5"/>
      <c r="AT403" s="5"/>
      <c r="AU403" s="5"/>
    </row>
    <row r="404" spans="2:47" x14ac:dyDescent="0.15">
      <c r="B404" s="23"/>
      <c r="C404" s="2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Z404" s="21"/>
      <c r="AP404" s="5"/>
      <c r="AQ404" s="5"/>
      <c r="AR404" s="5"/>
      <c r="AS404" s="5"/>
      <c r="AT404" s="5"/>
      <c r="AU404" s="5"/>
    </row>
    <row r="405" spans="2:47" x14ac:dyDescent="0.15">
      <c r="B405" s="23"/>
      <c r="C405" s="2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Z405" s="21"/>
      <c r="AP405" s="5"/>
      <c r="AQ405" s="5"/>
      <c r="AR405" s="5"/>
      <c r="AS405" s="5"/>
      <c r="AT405" s="5"/>
      <c r="AU405" s="5"/>
    </row>
    <row r="406" spans="2:47" x14ac:dyDescent="0.15">
      <c r="B406" s="23"/>
      <c r="C406" s="2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Z406" s="21"/>
      <c r="AP406" s="5"/>
      <c r="AQ406" s="5"/>
      <c r="AR406" s="5"/>
      <c r="AS406" s="5"/>
      <c r="AT406" s="5"/>
      <c r="AU406" s="5"/>
    </row>
    <row r="407" spans="2:47" x14ac:dyDescent="0.15">
      <c r="B407" s="23"/>
      <c r="C407" s="2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Z407" s="21"/>
      <c r="AP407" s="5"/>
      <c r="AQ407" s="5"/>
      <c r="AR407" s="5"/>
      <c r="AS407" s="5"/>
      <c r="AT407" s="5"/>
      <c r="AU407" s="5"/>
    </row>
    <row r="408" spans="2:47" x14ac:dyDescent="0.15">
      <c r="B408" s="23"/>
      <c r="C408" s="2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Z408" s="21"/>
      <c r="AP408" s="5"/>
      <c r="AQ408" s="5"/>
      <c r="AR408" s="5"/>
      <c r="AS408" s="5"/>
      <c r="AT408" s="5"/>
      <c r="AU408" s="5"/>
    </row>
    <row r="409" spans="2:47" x14ac:dyDescent="0.15">
      <c r="B409" s="23"/>
      <c r="C409" s="2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Z409" s="21"/>
      <c r="AP409" s="5"/>
      <c r="AQ409" s="5"/>
      <c r="AR409" s="5"/>
      <c r="AS409" s="5"/>
      <c r="AT409" s="5"/>
      <c r="AU409" s="5"/>
    </row>
    <row r="410" spans="2:47" x14ac:dyDescent="0.15">
      <c r="B410" s="23"/>
      <c r="C410" s="2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Z410" s="21"/>
      <c r="AP410" s="5"/>
      <c r="AQ410" s="5"/>
      <c r="AR410" s="5"/>
      <c r="AS410" s="5"/>
      <c r="AT410" s="5"/>
      <c r="AU410" s="5"/>
    </row>
    <row r="411" spans="2:47" x14ac:dyDescent="0.15">
      <c r="B411" s="23"/>
      <c r="C411" s="2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Z411" s="21"/>
      <c r="AP411" s="5"/>
      <c r="AQ411" s="5"/>
      <c r="AR411" s="5"/>
      <c r="AS411" s="5"/>
      <c r="AT411" s="5"/>
      <c r="AU411" s="5"/>
    </row>
    <row r="412" spans="2:47" x14ac:dyDescent="0.15">
      <c r="B412" s="23"/>
      <c r="C412" s="2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Z412" s="21"/>
      <c r="AP412" s="5"/>
      <c r="AQ412" s="5"/>
      <c r="AR412" s="5"/>
      <c r="AS412" s="5"/>
      <c r="AT412" s="5"/>
      <c r="AU412" s="5"/>
    </row>
    <row r="413" spans="2:47" x14ac:dyDescent="0.15">
      <c r="B413" s="23"/>
      <c r="C413" s="2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Z413" s="21"/>
      <c r="AP413" s="5"/>
      <c r="AQ413" s="5"/>
      <c r="AR413" s="5"/>
      <c r="AS413" s="5"/>
      <c r="AT413" s="5"/>
      <c r="AU413" s="5"/>
    </row>
    <row r="414" spans="2:47" x14ac:dyDescent="0.15">
      <c r="B414" s="23"/>
      <c r="C414" s="2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Z414" s="21"/>
      <c r="AP414" s="5"/>
      <c r="AQ414" s="5"/>
      <c r="AR414" s="5"/>
      <c r="AS414" s="5"/>
      <c r="AT414" s="5"/>
      <c r="AU414" s="5"/>
    </row>
    <row r="415" spans="2:47" x14ac:dyDescent="0.15">
      <c r="B415" s="23"/>
      <c r="C415" s="2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Z415" s="21"/>
      <c r="AP415" s="5"/>
      <c r="AQ415" s="5"/>
      <c r="AR415" s="5"/>
      <c r="AS415" s="5"/>
      <c r="AT415" s="5"/>
      <c r="AU415" s="5"/>
    </row>
    <row r="416" spans="2:47" x14ac:dyDescent="0.15">
      <c r="B416" s="23"/>
      <c r="C416" s="2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Z416" s="21"/>
      <c r="AP416" s="5"/>
      <c r="AQ416" s="5"/>
      <c r="AR416" s="5"/>
      <c r="AS416" s="5"/>
      <c r="AT416" s="5"/>
      <c r="AU416" s="5"/>
    </row>
    <row r="417" spans="2:47" x14ac:dyDescent="0.15">
      <c r="B417" s="23"/>
      <c r="C417" s="2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Z417" s="21"/>
      <c r="AP417" s="5"/>
      <c r="AQ417" s="5"/>
      <c r="AR417" s="5"/>
      <c r="AS417" s="5"/>
      <c r="AT417" s="5"/>
      <c r="AU417" s="5"/>
    </row>
    <row r="418" spans="2:47" x14ac:dyDescent="0.15">
      <c r="B418" s="23"/>
      <c r="C418" s="2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Z418" s="21"/>
      <c r="AP418" s="5"/>
      <c r="AQ418" s="5"/>
      <c r="AR418" s="5"/>
      <c r="AS418" s="5"/>
      <c r="AT418" s="5"/>
      <c r="AU418" s="5"/>
    </row>
    <row r="419" spans="2:47" x14ac:dyDescent="0.15">
      <c r="B419" s="23"/>
      <c r="C419" s="2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Z419" s="21"/>
      <c r="AP419" s="5"/>
      <c r="AQ419" s="5"/>
      <c r="AR419" s="5"/>
      <c r="AS419" s="5"/>
      <c r="AT419" s="5"/>
      <c r="AU419" s="5"/>
    </row>
    <row r="420" spans="2:47" x14ac:dyDescent="0.15">
      <c r="B420" s="23"/>
      <c r="C420" s="2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Z420" s="21"/>
      <c r="AP420" s="5"/>
      <c r="AQ420" s="5"/>
      <c r="AR420" s="5"/>
      <c r="AS420" s="5"/>
      <c r="AT420" s="5"/>
      <c r="AU420" s="5"/>
    </row>
    <row r="421" spans="2:47" x14ac:dyDescent="0.15">
      <c r="B421" s="23"/>
      <c r="C421" s="2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Z421" s="21"/>
      <c r="AP421" s="5"/>
      <c r="AQ421" s="5"/>
      <c r="AR421" s="5"/>
      <c r="AS421" s="5"/>
      <c r="AT421" s="5"/>
      <c r="AU421" s="5"/>
    </row>
    <row r="422" spans="2:47" x14ac:dyDescent="0.15">
      <c r="B422" s="23"/>
      <c r="C422" s="2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Z422" s="21"/>
      <c r="AP422" s="5"/>
      <c r="AQ422" s="5"/>
      <c r="AR422" s="5"/>
      <c r="AS422" s="5"/>
      <c r="AT422" s="5"/>
      <c r="AU422" s="5"/>
    </row>
    <row r="423" spans="2:47" x14ac:dyDescent="0.15">
      <c r="B423" s="23"/>
      <c r="C423" s="2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Z423" s="21"/>
      <c r="AP423" s="5"/>
      <c r="AQ423" s="5"/>
      <c r="AR423" s="5"/>
      <c r="AS423" s="5"/>
      <c r="AT423" s="5"/>
      <c r="AU423" s="5"/>
    </row>
    <row r="424" spans="2:47" x14ac:dyDescent="0.15">
      <c r="B424" s="23"/>
      <c r="C424" s="2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Z424" s="21"/>
      <c r="AP424" s="5"/>
      <c r="AQ424" s="5"/>
      <c r="AR424" s="5"/>
      <c r="AS424" s="5"/>
      <c r="AT424" s="5"/>
      <c r="AU424" s="5"/>
    </row>
    <row r="425" spans="2:47" x14ac:dyDescent="0.15">
      <c r="B425" s="23"/>
      <c r="C425" s="2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Z425" s="21"/>
      <c r="AP425" s="5"/>
      <c r="AQ425" s="5"/>
      <c r="AR425" s="5"/>
      <c r="AS425" s="5"/>
      <c r="AT425" s="5"/>
      <c r="AU425" s="5"/>
    </row>
    <row r="426" spans="2:47" x14ac:dyDescent="0.15">
      <c r="B426" s="23"/>
      <c r="C426" s="2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Z426" s="21"/>
      <c r="AP426" s="5"/>
      <c r="AQ426" s="5"/>
      <c r="AR426" s="5"/>
      <c r="AS426" s="5"/>
      <c r="AT426" s="5"/>
      <c r="AU426" s="5"/>
    </row>
    <row r="427" spans="2:47" x14ac:dyDescent="0.15">
      <c r="B427" s="23"/>
      <c r="C427" s="2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Z427" s="21"/>
      <c r="AP427" s="5"/>
      <c r="AQ427" s="5"/>
      <c r="AR427" s="5"/>
      <c r="AS427" s="5"/>
      <c r="AT427" s="5"/>
      <c r="AU427" s="5"/>
    </row>
    <row r="428" spans="2:47" x14ac:dyDescent="0.15">
      <c r="B428" s="23"/>
      <c r="C428" s="2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Z428" s="21"/>
      <c r="AP428" s="5"/>
      <c r="AQ428" s="5"/>
      <c r="AR428" s="5"/>
      <c r="AS428" s="5"/>
      <c r="AT428" s="5"/>
      <c r="AU428" s="5"/>
    </row>
    <row r="429" spans="2:47" x14ac:dyDescent="0.15">
      <c r="B429" s="23"/>
      <c r="C429" s="2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Z429" s="21"/>
      <c r="AP429" s="5"/>
      <c r="AQ429" s="5"/>
      <c r="AR429" s="5"/>
      <c r="AS429" s="5"/>
      <c r="AT429" s="5"/>
      <c r="AU429" s="5"/>
    </row>
    <row r="430" spans="2:47" x14ac:dyDescent="0.15">
      <c r="B430" s="23"/>
      <c r="C430" s="2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Z430" s="21"/>
      <c r="AP430" s="5"/>
      <c r="AQ430" s="5"/>
      <c r="AR430" s="5"/>
      <c r="AS430" s="5"/>
      <c r="AT430" s="5"/>
      <c r="AU430" s="5"/>
    </row>
    <row r="431" spans="2:47" x14ac:dyDescent="0.15">
      <c r="B431" s="23"/>
      <c r="C431" s="2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Z431" s="21"/>
      <c r="AP431" s="5"/>
      <c r="AQ431" s="5"/>
      <c r="AR431" s="5"/>
      <c r="AS431" s="5"/>
      <c r="AT431" s="5"/>
      <c r="AU431" s="5"/>
    </row>
    <row r="432" spans="2:47" x14ac:dyDescent="0.15">
      <c r="B432" s="23"/>
      <c r="C432" s="2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Z432" s="21"/>
      <c r="AP432" s="5"/>
      <c r="AQ432" s="5"/>
      <c r="AR432" s="5"/>
      <c r="AS432" s="5"/>
      <c r="AT432" s="5"/>
      <c r="AU432" s="5"/>
    </row>
    <row r="433" spans="2:47" x14ac:dyDescent="0.15">
      <c r="B433" s="23"/>
      <c r="C433" s="2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Z433" s="21"/>
      <c r="AP433" s="5"/>
      <c r="AQ433" s="5"/>
      <c r="AR433" s="5"/>
      <c r="AS433" s="5"/>
      <c r="AT433" s="5"/>
      <c r="AU433" s="5"/>
    </row>
    <row r="434" spans="2:47" x14ac:dyDescent="0.15">
      <c r="B434" s="23"/>
      <c r="C434" s="2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Z434" s="21"/>
      <c r="AP434" s="5"/>
      <c r="AQ434" s="5"/>
      <c r="AR434" s="5"/>
      <c r="AS434" s="5"/>
      <c r="AT434" s="5"/>
      <c r="AU434" s="5"/>
    </row>
    <row r="435" spans="2:47" x14ac:dyDescent="0.15">
      <c r="B435" s="23"/>
      <c r="C435" s="2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Z435" s="21"/>
      <c r="AP435" s="5"/>
      <c r="AQ435" s="5"/>
      <c r="AR435" s="5"/>
      <c r="AS435" s="5"/>
      <c r="AT435" s="5"/>
      <c r="AU435" s="5"/>
    </row>
    <row r="436" spans="2:47" x14ac:dyDescent="0.15">
      <c r="B436" s="23"/>
      <c r="C436" s="2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Z436" s="21"/>
      <c r="AP436" s="5"/>
      <c r="AQ436" s="5"/>
      <c r="AR436" s="5"/>
      <c r="AS436" s="5"/>
      <c r="AT436" s="5"/>
      <c r="AU436" s="5"/>
    </row>
    <row r="437" spans="2:47" x14ac:dyDescent="0.15">
      <c r="B437" s="23"/>
      <c r="C437" s="2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Z437" s="21"/>
      <c r="AP437" s="5"/>
      <c r="AQ437" s="5"/>
      <c r="AR437" s="5"/>
      <c r="AS437" s="5"/>
      <c r="AT437" s="5"/>
      <c r="AU437" s="5"/>
    </row>
    <row r="438" spans="2:47" x14ac:dyDescent="0.15">
      <c r="B438" s="23"/>
      <c r="C438" s="2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Z438" s="21"/>
      <c r="AP438" s="5"/>
      <c r="AQ438" s="5"/>
      <c r="AR438" s="5"/>
      <c r="AS438" s="5"/>
      <c r="AT438" s="5"/>
      <c r="AU438" s="5"/>
    </row>
    <row r="439" spans="2:47" x14ac:dyDescent="0.15">
      <c r="B439" s="23"/>
      <c r="C439" s="2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Z439" s="21"/>
      <c r="AP439" s="5"/>
      <c r="AQ439" s="5"/>
      <c r="AR439" s="5"/>
      <c r="AS439" s="5"/>
      <c r="AT439" s="5"/>
      <c r="AU439" s="5"/>
    </row>
    <row r="440" spans="2:47" x14ac:dyDescent="0.15">
      <c r="B440" s="23"/>
      <c r="C440" s="2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Z440" s="21"/>
      <c r="AP440" s="5"/>
      <c r="AQ440" s="5"/>
      <c r="AR440" s="5"/>
      <c r="AS440" s="5"/>
      <c r="AT440" s="5"/>
      <c r="AU440" s="5"/>
    </row>
    <row r="441" spans="2:47" x14ac:dyDescent="0.15">
      <c r="B441" s="23"/>
      <c r="C441" s="2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Z441" s="21"/>
      <c r="AP441" s="5"/>
      <c r="AQ441" s="5"/>
      <c r="AR441" s="5"/>
      <c r="AS441" s="5"/>
      <c r="AT441" s="5"/>
      <c r="AU441" s="5"/>
    </row>
    <row r="442" spans="2:47" x14ac:dyDescent="0.15">
      <c r="B442" s="23"/>
      <c r="C442" s="2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Z442" s="21"/>
      <c r="AP442" s="5"/>
      <c r="AQ442" s="5"/>
      <c r="AR442" s="5"/>
      <c r="AS442" s="5"/>
      <c r="AT442" s="5"/>
      <c r="AU442" s="5"/>
    </row>
    <row r="443" spans="2:47" x14ac:dyDescent="0.15">
      <c r="B443" s="23"/>
      <c r="C443" s="2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Z443" s="21"/>
      <c r="AP443" s="5"/>
      <c r="AQ443" s="5"/>
      <c r="AR443" s="5"/>
      <c r="AS443" s="5"/>
      <c r="AT443" s="5"/>
      <c r="AU443" s="5"/>
    </row>
    <row r="444" spans="2:47" x14ac:dyDescent="0.15">
      <c r="B444" s="23"/>
      <c r="C444" s="2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Z444" s="21"/>
      <c r="AP444" s="5"/>
      <c r="AQ444" s="5"/>
      <c r="AR444" s="5"/>
      <c r="AS444" s="5"/>
      <c r="AT444" s="5"/>
      <c r="AU444" s="5"/>
    </row>
    <row r="445" spans="2:47" x14ac:dyDescent="0.15">
      <c r="B445" s="23"/>
      <c r="C445" s="2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Z445" s="21"/>
      <c r="AP445" s="5"/>
      <c r="AQ445" s="5"/>
      <c r="AR445" s="5"/>
      <c r="AS445" s="5"/>
      <c r="AT445" s="5"/>
      <c r="AU445" s="5"/>
    </row>
    <row r="446" spans="2:47" x14ac:dyDescent="0.15">
      <c r="B446" s="23"/>
      <c r="C446" s="2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Z446" s="21"/>
      <c r="AP446" s="5"/>
      <c r="AQ446" s="5"/>
      <c r="AR446" s="5"/>
      <c r="AS446" s="5"/>
      <c r="AT446" s="5"/>
      <c r="AU446" s="5"/>
    </row>
    <row r="447" spans="2:47" x14ac:dyDescent="0.15">
      <c r="B447" s="23"/>
      <c r="C447" s="2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Z447" s="21"/>
      <c r="AP447" s="5"/>
      <c r="AQ447" s="5"/>
      <c r="AR447" s="5"/>
      <c r="AS447" s="5"/>
      <c r="AT447" s="5"/>
      <c r="AU447" s="5"/>
    </row>
    <row r="448" spans="2:47" x14ac:dyDescent="0.15">
      <c r="B448" s="23"/>
      <c r="C448" s="2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Z448" s="21"/>
      <c r="AP448" s="5"/>
      <c r="AQ448" s="5"/>
      <c r="AR448" s="5"/>
      <c r="AS448" s="5"/>
      <c r="AT448" s="5"/>
      <c r="AU448" s="5"/>
    </row>
    <row r="449" spans="2:47" x14ac:dyDescent="0.15">
      <c r="B449" s="23"/>
      <c r="C449" s="2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Z449" s="21"/>
      <c r="AP449" s="5"/>
      <c r="AQ449" s="5"/>
      <c r="AR449" s="5"/>
      <c r="AS449" s="5"/>
      <c r="AT449" s="5"/>
      <c r="AU449" s="5"/>
    </row>
    <row r="450" spans="2:47" x14ac:dyDescent="0.15">
      <c r="B450" s="23"/>
      <c r="C450" s="2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Z450" s="21"/>
      <c r="AP450" s="5"/>
      <c r="AQ450" s="5"/>
      <c r="AR450" s="5"/>
      <c r="AS450" s="5"/>
      <c r="AT450" s="5"/>
      <c r="AU450" s="5"/>
    </row>
    <row r="451" spans="2:47" x14ac:dyDescent="0.15">
      <c r="B451" s="23"/>
      <c r="C451" s="2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Z451" s="21"/>
      <c r="AP451" s="5"/>
      <c r="AQ451" s="5"/>
      <c r="AR451" s="5"/>
      <c r="AS451" s="5"/>
      <c r="AT451" s="5"/>
      <c r="AU451" s="5"/>
    </row>
    <row r="452" spans="2:47" x14ac:dyDescent="0.15">
      <c r="B452" s="23"/>
      <c r="C452" s="2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Z452" s="21"/>
      <c r="AP452" s="5"/>
      <c r="AQ452" s="5"/>
      <c r="AR452" s="5"/>
      <c r="AS452" s="5"/>
      <c r="AT452" s="5"/>
      <c r="AU452" s="5"/>
    </row>
    <row r="453" spans="2:47" x14ac:dyDescent="0.15">
      <c r="B453" s="23"/>
      <c r="C453" s="2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Z453" s="21"/>
      <c r="AP453" s="5"/>
      <c r="AQ453" s="5"/>
      <c r="AR453" s="5"/>
      <c r="AS453" s="5"/>
      <c r="AT453" s="5"/>
      <c r="AU453" s="5"/>
    </row>
    <row r="454" spans="2:47" x14ac:dyDescent="0.15">
      <c r="B454" s="23"/>
      <c r="C454" s="2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Z454" s="21"/>
      <c r="AP454" s="5"/>
      <c r="AQ454" s="5"/>
      <c r="AR454" s="5"/>
      <c r="AS454" s="5"/>
      <c r="AT454" s="5"/>
      <c r="AU454" s="5"/>
    </row>
    <row r="455" spans="2:47" x14ac:dyDescent="0.15">
      <c r="B455" s="23"/>
      <c r="C455" s="2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Z455" s="21"/>
      <c r="AP455" s="5"/>
      <c r="AQ455" s="5"/>
      <c r="AR455" s="5"/>
      <c r="AS455" s="5"/>
      <c r="AT455" s="5"/>
      <c r="AU455" s="5"/>
    </row>
    <row r="456" spans="2:47" x14ac:dyDescent="0.15">
      <c r="B456" s="23"/>
      <c r="C456" s="2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Z456" s="21"/>
      <c r="AP456" s="5"/>
      <c r="AQ456" s="5"/>
      <c r="AR456" s="5"/>
      <c r="AS456" s="5"/>
      <c r="AT456" s="5"/>
      <c r="AU456" s="5"/>
    </row>
    <row r="457" spans="2:47" x14ac:dyDescent="0.15">
      <c r="B457" s="23"/>
      <c r="C457" s="2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Z457" s="21"/>
      <c r="AP457" s="5"/>
      <c r="AQ457" s="5"/>
      <c r="AR457" s="5"/>
      <c r="AS457" s="5"/>
      <c r="AT457" s="5"/>
      <c r="AU457" s="5"/>
    </row>
    <row r="458" spans="2:47" x14ac:dyDescent="0.15">
      <c r="B458" s="23"/>
      <c r="C458" s="2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Z458" s="21"/>
      <c r="AP458" s="5"/>
      <c r="AQ458" s="5"/>
      <c r="AR458" s="5"/>
      <c r="AS458" s="5"/>
      <c r="AT458" s="5"/>
      <c r="AU458" s="5"/>
    </row>
    <row r="459" spans="2:47" x14ac:dyDescent="0.15">
      <c r="B459" s="23"/>
      <c r="C459" s="2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Z459" s="21"/>
      <c r="AP459" s="5"/>
      <c r="AQ459" s="5"/>
      <c r="AR459" s="5"/>
      <c r="AS459" s="5"/>
      <c r="AT459" s="5"/>
      <c r="AU459" s="5"/>
    </row>
    <row r="460" spans="2:47" x14ac:dyDescent="0.15">
      <c r="B460" s="23"/>
      <c r="C460" s="2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Z460" s="21"/>
      <c r="AP460" s="5"/>
      <c r="AQ460" s="5"/>
      <c r="AR460" s="5"/>
      <c r="AS460" s="5"/>
      <c r="AT460" s="5"/>
      <c r="AU460" s="5"/>
    </row>
    <row r="461" spans="2:47" x14ac:dyDescent="0.15">
      <c r="B461" s="23"/>
      <c r="C461" s="2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Z461" s="21"/>
      <c r="AP461" s="5"/>
      <c r="AQ461" s="5"/>
      <c r="AR461" s="5"/>
      <c r="AS461" s="5"/>
      <c r="AT461" s="5"/>
      <c r="AU461" s="5"/>
    </row>
    <row r="462" spans="2:47" x14ac:dyDescent="0.15">
      <c r="B462" s="23"/>
      <c r="C462" s="2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Z462" s="21"/>
      <c r="AP462" s="5"/>
      <c r="AQ462" s="5"/>
      <c r="AR462" s="5"/>
      <c r="AS462" s="5"/>
      <c r="AT462" s="5"/>
      <c r="AU462" s="5"/>
    </row>
    <row r="463" spans="2:47" x14ac:dyDescent="0.15">
      <c r="B463" s="23"/>
      <c r="C463" s="2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Z463" s="21"/>
      <c r="AP463" s="5"/>
      <c r="AQ463" s="5"/>
      <c r="AR463" s="5"/>
      <c r="AS463" s="5"/>
      <c r="AT463" s="5"/>
      <c r="AU463" s="5"/>
    </row>
    <row r="464" spans="2:47" x14ac:dyDescent="0.15">
      <c r="B464" s="23"/>
      <c r="C464" s="2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Z464" s="21"/>
      <c r="AP464" s="5"/>
      <c r="AQ464" s="5"/>
      <c r="AR464" s="5"/>
      <c r="AS464" s="5"/>
      <c r="AT464" s="5"/>
      <c r="AU464" s="5"/>
    </row>
    <row r="465" spans="2:47" x14ac:dyDescent="0.15">
      <c r="B465" s="23"/>
      <c r="C465" s="2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Z465" s="21"/>
      <c r="AP465" s="5"/>
      <c r="AQ465" s="5"/>
      <c r="AR465" s="5"/>
      <c r="AS465" s="5"/>
      <c r="AT465" s="5"/>
      <c r="AU465" s="5"/>
    </row>
    <row r="466" spans="2:47" x14ac:dyDescent="0.15">
      <c r="B466" s="23"/>
      <c r="C466" s="2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Z466" s="21"/>
      <c r="AP466" s="5"/>
      <c r="AQ466" s="5"/>
      <c r="AR466" s="5"/>
      <c r="AS466" s="5"/>
      <c r="AT466" s="5"/>
      <c r="AU466" s="5"/>
    </row>
    <row r="467" spans="2:47" x14ac:dyDescent="0.15">
      <c r="B467" s="23"/>
      <c r="C467" s="2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Z467" s="21"/>
      <c r="AP467" s="5"/>
      <c r="AQ467" s="5"/>
      <c r="AR467" s="5"/>
      <c r="AS467" s="5"/>
      <c r="AT467" s="5"/>
      <c r="AU467" s="5"/>
    </row>
    <row r="468" spans="2:47" x14ac:dyDescent="0.15">
      <c r="B468" s="23"/>
      <c r="C468" s="2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Z468" s="21"/>
      <c r="AP468" s="5"/>
      <c r="AQ468" s="5"/>
      <c r="AR468" s="5"/>
      <c r="AS468" s="5"/>
      <c r="AT468" s="5"/>
      <c r="AU468" s="5"/>
    </row>
    <row r="469" spans="2:47" x14ac:dyDescent="0.15">
      <c r="B469" s="23"/>
      <c r="C469" s="2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Z469" s="21"/>
      <c r="AP469" s="5"/>
      <c r="AQ469" s="5"/>
      <c r="AR469" s="5"/>
      <c r="AS469" s="5"/>
      <c r="AT469" s="5"/>
      <c r="AU469" s="5"/>
    </row>
    <row r="470" spans="2:47" x14ac:dyDescent="0.15">
      <c r="B470" s="23"/>
      <c r="C470" s="2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Z470" s="21"/>
      <c r="AP470" s="5"/>
      <c r="AQ470" s="5"/>
      <c r="AR470" s="5"/>
      <c r="AS470" s="5"/>
      <c r="AT470" s="5"/>
      <c r="AU470" s="5"/>
    </row>
    <row r="471" spans="2:47" x14ac:dyDescent="0.15">
      <c r="B471" s="23"/>
      <c r="C471" s="2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Z471" s="21"/>
      <c r="AP471" s="5"/>
      <c r="AQ471" s="5"/>
      <c r="AR471" s="5"/>
      <c r="AS471" s="5"/>
      <c r="AT471" s="5"/>
      <c r="AU471" s="5"/>
    </row>
    <row r="472" spans="2:47" x14ac:dyDescent="0.15">
      <c r="B472" s="23"/>
      <c r="C472" s="2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Z472" s="21"/>
      <c r="AP472" s="5"/>
      <c r="AQ472" s="5"/>
      <c r="AR472" s="5"/>
      <c r="AS472" s="5"/>
      <c r="AT472" s="5"/>
      <c r="AU472" s="5"/>
    </row>
    <row r="473" spans="2:47" x14ac:dyDescent="0.15">
      <c r="B473" s="23"/>
      <c r="C473" s="2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Z473" s="21"/>
      <c r="AP473" s="5"/>
      <c r="AQ473" s="5"/>
      <c r="AR473" s="5"/>
      <c r="AS473" s="5"/>
      <c r="AT473" s="5"/>
      <c r="AU473" s="5"/>
    </row>
    <row r="474" spans="2:47" x14ac:dyDescent="0.15">
      <c r="B474" s="23"/>
      <c r="C474" s="2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Z474" s="21"/>
      <c r="AP474" s="5"/>
      <c r="AQ474" s="5"/>
      <c r="AR474" s="5"/>
      <c r="AS474" s="5"/>
      <c r="AT474" s="5"/>
      <c r="AU474" s="5"/>
    </row>
    <row r="475" spans="2:47" x14ac:dyDescent="0.15">
      <c r="B475" s="23"/>
      <c r="C475" s="2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Z475" s="21"/>
      <c r="AP475" s="5"/>
      <c r="AQ475" s="5"/>
      <c r="AR475" s="5"/>
      <c r="AS475" s="5"/>
      <c r="AT475" s="5"/>
      <c r="AU475" s="5"/>
    </row>
    <row r="476" spans="2:47" x14ac:dyDescent="0.15">
      <c r="B476" s="23"/>
      <c r="C476" s="2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Z476" s="21"/>
      <c r="AP476" s="5"/>
      <c r="AQ476" s="5"/>
      <c r="AR476" s="5"/>
      <c r="AS476" s="5"/>
      <c r="AT476" s="5"/>
      <c r="AU476" s="5"/>
    </row>
    <row r="477" spans="2:47" x14ac:dyDescent="0.15">
      <c r="B477" s="23"/>
      <c r="C477" s="2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Z477" s="21"/>
      <c r="AP477" s="5"/>
      <c r="AQ477" s="5"/>
      <c r="AR477" s="5"/>
      <c r="AS477" s="5"/>
      <c r="AT477" s="5"/>
      <c r="AU477" s="5"/>
    </row>
    <row r="478" spans="2:47" x14ac:dyDescent="0.15">
      <c r="B478" s="23"/>
      <c r="C478" s="2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Z478" s="21"/>
      <c r="AP478" s="5"/>
      <c r="AQ478" s="5"/>
      <c r="AR478" s="5"/>
      <c r="AS478" s="5"/>
      <c r="AT478" s="5"/>
      <c r="AU478" s="5"/>
    </row>
    <row r="479" spans="2:47" x14ac:dyDescent="0.15">
      <c r="B479" s="23"/>
      <c r="C479" s="2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Z479" s="21"/>
      <c r="AP479" s="5"/>
      <c r="AQ479" s="5"/>
      <c r="AR479" s="5"/>
      <c r="AS479" s="5"/>
      <c r="AT479" s="5"/>
      <c r="AU479" s="5"/>
    </row>
    <row r="480" spans="2:47" x14ac:dyDescent="0.15">
      <c r="B480" s="23"/>
      <c r="C480" s="2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Z480" s="21"/>
      <c r="AP480" s="5"/>
      <c r="AQ480" s="5"/>
      <c r="AR480" s="5"/>
      <c r="AS480" s="5"/>
      <c r="AT480" s="5"/>
      <c r="AU480" s="5"/>
    </row>
    <row r="481" spans="2:47" x14ac:dyDescent="0.15">
      <c r="B481" s="23"/>
      <c r="C481" s="2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Z481" s="21"/>
      <c r="AP481" s="5"/>
      <c r="AQ481" s="5"/>
      <c r="AR481" s="5"/>
      <c r="AS481" s="5"/>
      <c r="AT481" s="5"/>
      <c r="AU481" s="5"/>
    </row>
    <row r="482" spans="2:47" x14ac:dyDescent="0.15">
      <c r="B482" s="23"/>
      <c r="C482" s="2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Z482" s="21"/>
      <c r="AP482" s="5"/>
      <c r="AQ482" s="5"/>
      <c r="AR482" s="5"/>
      <c r="AS482" s="5"/>
      <c r="AT482" s="5"/>
      <c r="AU482" s="5"/>
    </row>
    <row r="483" spans="2:47" x14ac:dyDescent="0.15">
      <c r="B483" s="23"/>
      <c r="C483" s="2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Z483" s="21"/>
      <c r="AP483" s="5"/>
      <c r="AQ483" s="5"/>
      <c r="AR483" s="5"/>
      <c r="AS483" s="5"/>
      <c r="AT483" s="5"/>
      <c r="AU483" s="5"/>
    </row>
    <row r="484" spans="2:47" x14ac:dyDescent="0.15">
      <c r="B484" s="23"/>
      <c r="C484" s="2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Z484" s="21"/>
      <c r="AP484" s="5"/>
      <c r="AQ484" s="5"/>
      <c r="AR484" s="5"/>
      <c r="AS484" s="5"/>
      <c r="AT484" s="5"/>
      <c r="AU484" s="5"/>
    </row>
    <row r="485" spans="2:47" x14ac:dyDescent="0.15">
      <c r="B485" s="23"/>
      <c r="C485" s="2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Z485" s="21"/>
      <c r="AP485" s="5"/>
      <c r="AQ485" s="5"/>
      <c r="AR485" s="5"/>
      <c r="AS485" s="5"/>
      <c r="AT485" s="5"/>
      <c r="AU485" s="5"/>
    </row>
    <row r="486" spans="2:47" x14ac:dyDescent="0.15">
      <c r="B486" s="23"/>
      <c r="C486" s="2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Z486" s="21"/>
      <c r="AP486" s="5"/>
      <c r="AQ486" s="5"/>
      <c r="AR486" s="5"/>
      <c r="AS486" s="5"/>
      <c r="AT486" s="5"/>
      <c r="AU486" s="5"/>
    </row>
    <row r="487" spans="2:47" x14ac:dyDescent="0.15">
      <c r="B487" s="23"/>
      <c r="C487" s="2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Z487" s="21"/>
      <c r="AP487" s="5"/>
      <c r="AQ487" s="5"/>
      <c r="AR487" s="5"/>
      <c r="AS487" s="5"/>
      <c r="AT487" s="5"/>
      <c r="AU487" s="5"/>
    </row>
    <row r="488" spans="2:47" x14ac:dyDescent="0.15">
      <c r="B488" s="23"/>
      <c r="C488" s="2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Z488" s="21"/>
      <c r="AP488" s="5"/>
      <c r="AQ488" s="5"/>
      <c r="AR488" s="5"/>
      <c r="AS488" s="5"/>
      <c r="AT488" s="5"/>
      <c r="AU488" s="5"/>
    </row>
    <row r="489" spans="2:47" x14ac:dyDescent="0.15">
      <c r="B489" s="23"/>
      <c r="C489" s="2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Z489" s="21"/>
      <c r="AP489" s="5"/>
      <c r="AQ489" s="5"/>
      <c r="AR489" s="5"/>
      <c r="AS489" s="5"/>
      <c r="AT489" s="5"/>
      <c r="AU489" s="5"/>
    </row>
    <row r="490" spans="2:47" x14ac:dyDescent="0.15">
      <c r="B490" s="23"/>
      <c r="C490" s="2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Z490" s="21"/>
      <c r="AP490" s="5"/>
      <c r="AQ490" s="5"/>
      <c r="AR490" s="5"/>
      <c r="AS490" s="5"/>
      <c r="AT490" s="5"/>
      <c r="AU490" s="5"/>
    </row>
    <row r="491" spans="2:47" x14ac:dyDescent="0.15">
      <c r="B491" s="23"/>
      <c r="C491" s="2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Z491" s="21"/>
      <c r="AP491" s="5"/>
      <c r="AQ491" s="5"/>
      <c r="AR491" s="5"/>
      <c r="AS491" s="5"/>
      <c r="AT491" s="5"/>
      <c r="AU491" s="5"/>
    </row>
    <row r="492" spans="2:47" x14ac:dyDescent="0.15">
      <c r="B492" s="23"/>
      <c r="C492" s="2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Z492" s="21"/>
      <c r="AP492" s="5"/>
      <c r="AQ492" s="5"/>
      <c r="AR492" s="5"/>
      <c r="AS492" s="5"/>
      <c r="AT492" s="5"/>
      <c r="AU492" s="5"/>
    </row>
    <row r="493" spans="2:47" x14ac:dyDescent="0.15">
      <c r="B493" s="23"/>
      <c r="C493" s="2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Z493" s="21"/>
      <c r="AP493" s="5"/>
      <c r="AQ493" s="5"/>
      <c r="AR493" s="5"/>
      <c r="AS493" s="5"/>
      <c r="AT493" s="5"/>
      <c r="AU493" s="5"/>
    </row>
    <row r="494" spans="2:47" x14ac:dyDescent="0.15">
      <c r="B494" s="23"/>
      <c r="C494" s="2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Z494" s="21"/>
      <c r="AP494" s="5"/>
      <c r="AQ494" s="5"/>
      <c r="AR494" s="5"/>
      <c r="AS494" s="5"/>
      <c r="AT494" s="5"/>
      <c r="AU494" s="5"/>
    </row>
    <row r="495" spans="2:47" x14ac:dyDescent="0.15">
      <c r="B495" s="23"/>
      <c r="C495" s="2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Z495" s="21"/>
      <c r="AP495" s="5"/>
      <c r="AQ495" s="5"/>
      <c r="AR495" s="5"/>
      <c r="AS495" s="5"/>
      <c r="AT495" s="5"/>
      <c r="AU495" s="5"/>
    </row>
    <row r="496" spans="2:47" x14ac:dyDescent="0.15">
      <c r="B496" s="23"/>
      <c r="C496" s="2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Z496" s="21"/>
      <c r="AP496" s="5"/>
      <c r="AQ496" s="5"/>
      <c r="AR496" s="5"/>
      <c r="AS496" s="5"/>
      <c r="AT496" s="5"/>
      <c r="AU496" s="5"/>
    </row>
    <row r="497" spans="2:47" x14ac:dyDescent="0.15">
      <c r="B497" s="23"/>
      <c r="C497" s="2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Z497" s="21"/>
      <c r="AP497" s="5"/>
      <c r="AQ497" s="5"/>
      <c r="AR497" s="5"/>
      <c r="AS497" s="5"/>
      <c r="AT497" s="5"/>
      <c r="AU497" s="5"/>
    </row>
    <row r="498" spans="2:47" x14ac:dyDescent="0.15">
      <c r="B498" s="23"/>
      <c r="C498" s="2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Z498" s="21"/>
      <c r="AP498" s="5"/>
      <c r="AQ498" s="5"/>
      <c r="AR498" s="5"/>
      <c r="AS498" s="5"/>
      <c r="AT498" s="5"/>
      <c r="AU498" s="5"/>
    </row>
    <row r="499" spans="2:47" x14ac:dyDescent="0.15">
      <c r="B499" s="23"/>
      <c r="C499" s="2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Z499" s="21"/>
      <c r="AP499" s="5"/>
      <c r="AQ499" s="5"/>
      <c r="AR499" s="5"/>
      <c r="AS499" s="5"/>
      <c r="AT499" s="5"/>
      <c r="AU499" s="5"/>
    </row>
    <row r="500" spans="2:47" x14ac:dyDescent="0.15">
      <c r="B500" s="23"/>
      <c r="C500" s="2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Z500" s="21"/>
      <c r="AP500" s="5"/>
      <c r="AQ500" s="5"/>
      <c r="AR500" s="5"/>
      <c r="AS500" s="5"/>
      <c r="AT500" s="5"/>
      <c r="AU500" s="5"/>
    </row>
    <row r="501" spans="2:47" x14ac:dyDescent="0.15">
      <c r="B501" s="23"/>
      <c r="C501" s="2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Z501" s="21"/>
      <c r="AP501" s="5"/>
      <c r="AQ501" s="5"/>
      <c r="AR501" s="5"/>
      <c r="AS501" s="5"/>
      <c r="AT501" s="5"/>
      <c r="AU501" s="5"/>
    </row>
    <row r="502" spans="2:47" x14ac:dyDescent="0.15">
      <c r="B502" s="23"/>
      <c r="C502" s="2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Z502" s="21"/>
      <c r="AP502" s="5"/>
      <c r="AQ502" s="5"/>
      <c r="AR502" s="5"/>
      <c r="AS502" s="5"/>
      <c r="AT502" s="5"/>
      <c r="AU502" s="5"/>
    </row>
    <row r="503" spans="2:47" x14ac:dyDescent="0.15">
      <c r="B503" s="23"/>
      <c r="C503" s="2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Z503" s="21"/>
      <c r="AP503" s="5"/>
      <c r="AQ503" s="5"/>
      <c r="AR503" s="5"/>
      <c r="AS503" s="5"/>
      <c r="AT503" s="5"/>
      <c r="AU503" s="5"/>
    </row>
    <row r="504" spans="2:47" x14ac:dyDescent="0.15">
      <c r="B504" s="23"/>
      <c r="C504" s="2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Z504" s="21"/>
      <c r="AP504" s="5"/>
      <c r="AQ504" s="5"/>
      <c r="AR504" s="5"/>
      <c r="AS504" s="5"/>
      <c r="AT504" s="5"/>
      <c r="AU504" s="5"/>
    </row>
    <row r="505" spans="2:47" x14ac:dyDescent="0.15">
      <c r="B505" s="23"/>
      <c r="C505" s="2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Z505" s="21"/>
      <c r="AP505" s="5"/>
      <c r="AQ505" s="5"/>
      <c r="AR505" s="5"/>
      <c r="AS505" s="5"/>
      <c r="AT505" s="5"/>
      <c r="AU505" s="5"/>
    </row>
    <row r="506" spans="2:47" x14ac:dyDescent="0.15">
      <c r="B506" s="23"/>
      <c r="C506" s="2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Z506" s="21"/>
      <c r="AP506" s="5"/>
      <c r="AQ506" s="5"/>
      <c r="AR506" s="5"/>
      <c r="AS506" s="5"/>
      <c r="AT506" s="5"/>
      <c r="AU506" s="5"/>
    </row>
    <row r="507" spans="2:47" x14ac:dyDescent="0.15">
      <c r="B507" s="23"/>
      <c r="C507" s="2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Z507" s="21"/>
      <c r="AP507" s="5"/>
      <c r="AQ507" s="5"/>
      <c r="AR507" s="5"/>
      <c r="AS507" s="5"/>
      <c r="AT507" s="5"/>
      <c r="AU507" s="5"/>
    </row>
    <row r="508" spans="2:47" x14ac:dyDescent="0.15">
      <c r="B508" s="23"/>
      <c r="C508" s="2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Z508" s="21"/>
      <c r="AP508" s="5"/>
      <c r="AQ508" s="5"/>
      <c r="AR508" s="5"/>
      <c r="AS508" s="5"/>
      <c r="AT508" s="5"/>
      <c r="AU508" s="5"/>
    </row>
    <row r="509" spans="2:47" x14ac:dyDescent="0.15">
      <c r="B509" s="23"/>
      <c r="C509" s="2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Z509" s="21"/>
      <c r="AP509" s="5"/>
      <c r="AQ509" s="5"/>
      <c r="AR509" s="5"/>
      <c r="AS509" s="5"/>
      <c r="AT509" s="5"/>
      <c r="AU509" s="5"/>
    </row>
    <row r="510" spans="2:47" x14ac:dyDescent="0.15">
      <c r="B510" s="23"/>
      <c r="C510" s="2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Z510" s="21"/>
      <c r="AP510" s="5"/>
      <c r="AQ510" s="5"/>
      <c r="AR510" s="5"/>
      <c r="AS510" s="5"/>
      <c r="AT510" s="5"/>
      <c r="AU510" s="5"/>
    </row>
    <row r="511" spans="2:47" x14ac:dyDescent="0.15">
      <c r="B511" s="23"/>
      <c r="C511" s="2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Z511" s="21"/>
      <c r="AP511" s="5"/>
      <c r="AQ511" s="5"/>
      <c r="AR511" s="5"/>
      <c r="AS511" s="5"/>
      <c r="AT511" s="5"/>
      <c r="AU511" s="5"/>
    </row>
    <row r="512" spans="2:47" x14ac:dyDescent="0.15">
      <c r="B512" s="23"/>
      <c r="C512" s="2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Z512" s="21"/>
      <c r="AP512" s="5"/>
      <c r="AQ512" s="5"/>
      <c r="AR512" s="5"/>
      <c r="AS512" s="5"/>
      <c r="AT512" s="5"/>
      <c r="AU512" s="5"/>
    </row>
    <row r="513" spans="2:47" x14ac:dyDescent="0.15">
      <c r="B513" s="23"/>
      <c r="C513" s="2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Z513" s="21"/>
      <c r="AP513" s="5"/>
      <c r="AQ513" s="5"/>
      <c r="AR513" s="5"/>
      <c r="AS513" s="5"/>
      <c r="AT513" s="5"/>
      <c r="AU513" s="5"/>
    </row>
    <row r="514" spans="2:47" x14ac:dyDescent="0.15">
      <c r="B514" s="23"/>
      <c r="C514" s="2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Z514" s="21"/>
      <c r="AP514" s="5"/>
      <c r="AQ514" s="5"/>
      <c r="AR514" s="5"/>
      <c r="AS514" s="5"/>
      <c r="AT514" s="5"/>
      <c r="AU514" s="5"/>
    </row>
    <row r="515" spans="2:47" x14ac:dyDescent="0.15">
      <c r="B515" s="23"/>
      <c r="C515" s="2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Z515" s="21"/>
      <c r="AP515" s="5"/>
      <c r="AQ515" s="5"/>
      <c r="AR515" s="5"/>
      <c r="AS515" s="5"/>
      <c r="AT515" s="5"/>
      <c r="AU515" s="5"/>
    </row>
    <row r="516" spans="2:47" x14ac:dyDescent="0.15">
      <c r="B516" s="23"/>
      <c r="C516" s="2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Z516" s="21"/>
      <c r="AP516" s="5"/>
      <c r="AQ516" s="5"/>
      <c r="AR516" s="5"/>
      <c r="AS516" s="5"/>
      <c r="AT516" s="5"/>
      <c r="AU516" s="5"/>
    </row>
    <row r="517" spans="2:47" x14ac:dyDescent="0.15">
      <c r="B517" s="23"/>
      <c r="C517" s="2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Z517" s="21"/>
      <c r="AP517" s="5"/>
      <c r="AQ517" s="5"/>
      <c r="AR517" s="5"/>
      <c r="AS517" s="5"/>
      <c r="AT517" s="5"/>
      <c r="AU517" s="5"/>
    </row>
    <row r="518" spans="2:47" x14ac:dyDescent="0.15">
      <c r="B518" s="23"/>
      <c r="C518" s="2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Z518" s="21"/>
      <c r="AP518" s="5"/>
      <c r="AQ518" s="5"/>
      <c r="AR518" s="5"/>
      <c r="AS518" s="5"/>
      <c r="AT518" s="5"/>
      <c r="AU518" s="5"/>
    </row>
    <row r="519" spans="2:47" x14ac:dyDescent="0.15">
      <c r="B519" s="23"/>
      <c r="C519" s="2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Z519" s="21"/>
      <c r="AP519" s="5"/>
      <c r="AQ519" s="5"/>
      <c r="AR519" s="5"/>
      <c r="AS519" s="5"/>
      <c r="AT519" s="5"/>
      <c r="AU519" s="5"/>
    </row>
    <row r="520" spans="2:47" x14ac:dyDescent="0.15">
      <c r="B520" s="23"/>
      <c r="C520" s="2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Z520" s="21"/>
      <c r="AP520" s="5"/>
      <c r="AQ520" s="5"/>
      <c r="AR520" s="5"/>
      <c r="AS520" s="5"/>
      <c r="AT520" s="5"/>
      <c r="AU520" s="5"/>
    </row>
    <row r="521" spans="2:47" x14ac:dyDescent="0.15">
      <c r="B521" s="23"/>
      <c r="C521" s="2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Z521" s="21"/>
      <c r="AP521" s="5"/>
      <c r="AQ521" s="5"/>
      <c r="AR521" s="5"/>
      <c r="AS521" s="5"/>
      <c r="AT521" s="5"/>
      <c r="AU521" s="5"/>
    </row>
    <row r="522" spans="2:47" x14ac:dyDescent="0.15">
      <c r="B522" s="23"/>
      <c r="C522" s="2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Z522" s="21"/>
      <c r="AP522" s="5"/>
      <c r="AQ522" s="5"/>
      <c r="AR522" s="5"/>
      <c r="AS522" s="5"/>
      <c r="AT522" s="5"/>
      <c r="AU522" s="5"/>
    </row>
    <row r="523" spans="2:47" x14ac:dyDescent="0.15">
      <c r="B523" s="23"/>
      <c r="C523" s="2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Z523" s="21"/>
      <c r="AP523" s="5"/>
      <c r="AQ523" s="5"/>
      <c r="AR523" s="5"/>
      <c r="AS523" s="5"/>
      <c r="AT523" s="5"/>
      <c r="AU523" s="5"/>
    </row>
    <row r="524" spans="2:47" x14ac:dyDescent="0.15">
      <c r="B524" s="23"/>
      <c r="C524" s="2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Z524" s="21"/>
      <c r="AP524" s="5"/>
      <c r="AQ524" s="5"/>
      <c r="AR524" s="5"/>
      <c r="AS524" s="5"/>
      <c r="AT524" s="5"/>
      <c r="AU524" s="5"/>
    </row>
    <row r="525" spans="2:47" x14ac:dyDescent="0.15">
      <c r="B525" s="23"/>
      <c r="C525" s="2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Z525" s="21"/>
      <c r="AP525" s="5"/>
      <c r="AQ525" s="5"/>
      <c r="AR525" s="5"/>
      <c r="AS525" s="5"/>
      <c r="AT525" s="5"/>
      <c r="AU525" s="5"/>
    </row>
    <row r="526" spans="2:47" x14ac:dyDescent="0.15">
      <c r="B526" s="23"/>
      <c r="C526" s="2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Z526" s="21"/>
      <c r="AP526" s="5"/>
      <c r="AQ526" s="5"/>
      <c r="AR526" s="5"/>
      <c r="AS526" s="5"/>
      <c r="AT526" s="5"/>
      <c r="AU526" s="5"/>
    </row>
    <row r="527" spans="2:47" x14ac:dyDescent="0.15">
      <c r="B527" s="23"/>
      <c r="C527" s="2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Z527" s="21"/>
      <c r="AP527" s="5"/>
      <c r="AQ527" s="5"/>
      <c r="AR527" s="5"/>
      <c r="AS527" s="5"/>
      <c r="AT527" s="5"/>
      <c r="AU527" s="5"/>
    </row>
    <row r="528" spans="2:47" x14ac:dyDescent="0.15">
      <c r="B528" s="23"/>
      <c r="C528" s="2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Z528" s="21"/>
      <c r="AP528" s="5"/>
      <c r="AQ528" s="5"/>
      <c r="AR528" s="5"/>
      <c r="AS528" s="5"/>
      <c r="AT528" s="5"/>
      <c r="AU528" s="5"/>
    </row>
    <row r="529" spans="2:47" x14ac:dyDescent="0.15">
      <c r="B529" s="23"/>
      <c r="C529" s="2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Z529" s="21"/>
      <c r="AP529" s="5"/>
      <c r="AQ529" s="5"/>
      <c r="AR529" s="5"/>
      <c r="AS529" s="5"/>
      <c r="AT529" s="5"/>
      <c r="AU529" s="5"/>
    </row>
    <row r="530" spans="2:47" x14ac:dyDescent="0.15">
      <c r="B530" s="23"/>
      <c r="C530" s="2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Z530" s="21"/>
      <c r="AP530" s="5"/>
      <c r="AQ530" s="5"/>
      <c r="AR530" s="5"/>
      <c r="AS530" s="5"/>
      <c r="AT530" s="5"/>
      <c r="AU530" s="5"/>
    </row>
    <row r="531" spans="2:47" x14ac:dyDescent="0.15">
      <c r="B531" s="23"/>
      <c r="C531" s="2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Z531" s="21"/>
      <c r="AP531" s="5"/>
      <c r="AQ531" s="5"/>
      <c r="AR531" s="5"/>
      <c r="AS531" s="5"/>
      <c r="AT531" s="5"/>
      <c r="AU531" s="5"/>
    </row>
    <row r="532" spans="2:47" x14ac:dyDescent="0.15">
      <c r="B532" s="23"/>
      <c r="C532" s="2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Z532" s="21"/>
      <c r="AP532" s="5"/>
      <c r="AQ532" s="5"/>
      <c r="AR532" s="5"/>
      <c r="AS532" s="5"/>
      <c r="AT532" s="5"/>
      <c r="AU532" s="5"/>
    </row>
    <row r="533" spans="2:47" x14ac:dyDescent="0.15">
      <c r="B533" s="23"/>
      <c r="C533" s="2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Z533" s="21"/>
      <c r="AP533" s="5"/>
      <c r="AQ533" s="5"/>
      <c r="AR533" s="5"/>
      <c r="AS533" s="5"/>
      <c r="AT533" s="5"/>
      <c r="AU533" s="5"/>
    </row>
    <row r="534" spans="2:47" x14ac:dyDescent="0.15">
      <c r="B534" s="23"/>
      <c r="C534" s="2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Z534" s="21"/>
      <c r="AP534" s="5"/>
      <c r="AQ534" s="5"/>
      <c r="AR534" s="5"/>
      <c r="AS534" s="5"/>
      <c r="AT534" s="5"/>
      <c r="AU534" s="5"/>
    </row>
    <row r="535" spans="2:47" x14ac:dyDescent="0.15">
      <c r="B535" s="23"/>
      <c r="C535" s="2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Z535" s="21"/>
      <c r="AP535" s="5"/>
      <c r="AQ535" s="5"/>
      <c r="AR535" s="5"/>
      <c r="AS535" s="5"/>
      <c r="AT535" s="5"/>
      <c r="AU535" s="5"/>
    </row>
    <row r="536" spans="2:47" x14ac:dyDescent="0.15">
      <c r="B536" s="23"/>
      <c r="C536" s="2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Z536" s="21"/>
      <c r="AP536" s="5"/>
      <c r="AQ536" s="5"/>
      <c r="AR536" s="5"/>
      <c r="AS536" s="5"/>
      <c r="AT536" s="5"/>
      <c r="AU536" s="5"/>
    </row>
    <row r="537" spans="2:47" x14ac:dyDescent="0.15">
      <c r="B537" s="23"/>
      <c r="C537" s="2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Z537" s="21"/>
      <c r="AP537" s="5"/>
      <c r="AQ537" s="5"/>
      <c r="AR537" s="5"/>
      <c r="AS537" s="5"/>
      <c r="AT537" s="5"/>
      <c r="AU537" s="5"/>
    </row>
    <row r="538" spans="2:47" x14ac:dyDescent="0.15">
      <c r="B538" s="23"/>
      <c r="C538" s="2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Z538" s="21"/>
      <c r="AP538" s="5"/>
      <c r="AQ538" s="5"/>
      <c r="AR538" s="5"/>
      <c r="AS538" s="5"/>
      <c r="AT538" s="5"/>
      <c r="AU538" s="5"/>
    </row>
    <row r="539" spans="2:47" x14ac:dyDescent="0.15">
      <c r="B539" s="23"/>
      <c r="C539" s="2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Z539" s="21"/>
      <c r="AP539" s="5"/>
      <c r="AQ539" s="5"/>
      <c r="AR539" s="5"/>
      <c r="AS539" s="5"/>
      <c r="AT539" s="5"/>
      <c r="AU539" s="5"/>
    </row>
    <row r="540" spans="2:47" x14ac:dyDescent="0.15">
      <c r="B540" s="23"/>
      <c r="C540" s="2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Z540" s="21"/>
      <c r="AP540" s="5"/>
      <c r="AQ540" s="5"/>
      <c r="AR540" s="5"/>
      <c r="AS540" s="5"/>
      <c r="AT540" s="5"/>
      <c r="AU540" s="5"/>
    </row>
    <row r="541" spans="2:47" x14ac:dyDescent="0.15">
      <c r="B541" s="23"/>
      <c r="C541" s="2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Z541" s="21"/>
      <c r="AP541" s="5"/>
      <c r="AQ541" s="5"/>
      <c r="AR541" s="5"/>
      <c r="AS541" s="5"/>
      <c r="AT541" s="5"/>
      <c r="AU541" s="5"/>
    </row>
    <row r="542" spans="2:47" x14ac:dyDescent="0.15">
      <c r="B542" s="23"/>
      <c r="C542" s="2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Z542" s="21"/>
      <c r="AP542" s="5"/>
      <c r="AQ542" s="5"/>
      <c r="AR542" s="5"/>
      <c r="AS542" s="5"/>
      <c r="AT542" s="5"/>
      <c r="AU542" s="5"/>
    </row>
    <row r="543" spans="2:47" x14ac:dyDescent="0.15">
      <c r="B543" s="23"/>
      <c r="C543" s="2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Z543" s="21"/>
      <c r="AP543" s="5"/>
      <c r="AQ543" s="5"/>
      <c r="AR543" s="5"/>
      <c r="AS543" s="5"/>
      <c r="AT543" s="5"/>
      <c r="AU543" s="5"/>
    </row>
    <row r="544" spans="2:47" x14ac:dyDescent="0.15">
      <c r="B544" s="23"/>
      <c r="C544" s="2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Z544" s="21"/>
      <c r="AP544" s="5"/>
      <c r="AQ544" s="5"/>
      <c r="AR544" s="5"/>
      <c r="AS544" s="5"/>
      <c r="AT544" s="5"/>
      <c r="AU544" s="5"/>
    </row>
    <row r="545" spans="2:47" x14ac:dyDescent="0.15">
      <c r="B545" s="23"/>
      <c r="C545" s="2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Z545" s="21"/>
      <c r="AP545" s="5"/>
      <c r="AQ545" s="5"/>
      <c r="AR545" s="5"/>
      <c r="AS545" s="5"/>
      <c r="AT545" s="5"/>
      <c r="AU545" s="5"/>
    </row>
    <row r="546" spans="2:47" x14ac:dyDescent="0.15">
      <c r="B546" s="23"/>
      <c r="C546" s="2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Z546" s="21"/>
      <c r="AP546" s="5"/>
      <c r="AQ546" s="5"/>
      <c r="AR546" s="5"/>
      <c r="AS546" s="5"/>
      <c r="AT546" s="5"/>
      <c r="AU546" s="5"/>
    </row>
    <row r="547" spans="2:47" x14ac:dyDescent="0.15">
      <c r="B547" s="23"/>
      <c r="C547" s="2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Z547" s="21"/>
      <c r="AP547" s="5"/>
      <c r="AQ547" s="5"/>
      <c r="AR547" s="5"/>
      <c r="AS547" s="5"/>
      <c r="AT547" s="5"/>
      <c r="AU547" s="5"/>
    </row>
    <row r="548" spans="2:47" x14ac:dyDescent="0.15">
      <c r="B548" s="23"/>
      <c r="C548" s="2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Z548" s="21"/>
      <c r="AP548" s="5"/>
      <c r="AQ548" s="5"/>
      <c r="AR548" s="5"/>
      <c r="AS548" s="5"/>
      <c r="AT548" s="5"/>
      <c r="AU548" s="5"/>
    </row>
    <row r="549" spans="2:47" x14ac:dyDescent="0.15">
      <c r="B549" s="23"/>
      <c r="C549" s="2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Z549" s="21"/>
      <c r="AP549" s="5"/>
      <c r="AQ549" s="5"/>
      <c r="AR549" s="5"/>
      <c r="AS549" s="5"/>
      <c r="AT549" s="5"/>
      <c r="AU549" s="5"/>
    </row>
    <row r="550" spans="2:47" x14ac:dyDescent="0.15">
      <c r="B550" s="23"/>
      <c r="C550" s="2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Z550" s="21"/>
      <c r="AP550" s="5"/>
      <c r="AQ550" s="5"/>
      <c r="AR550" s="5"/>
      <c r="AS550" s="5"/>
      <c r="AT550" s="5"/>
      <c r="AU550" s="5"/>
    </row>
    <row r="551" spans="2:47" x14ac:dyDescent="0.15">
      <c r="B551" s="23"/>
      <c r="C551" s="2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Z551" s="21"/>
      <c r="AP551" s="5"/>
      <c r="AQ551" s="5"/>
      <c r="AR551" s="5"/>
      <c r="AS551" s="5"/>
      <c r="AT551" s="5"/>
      <c r="AU551" s="5"/>
    </row>
    <row r="552" spans="2:47" x14ac:dyDescent="0.15">
      <c r="B552" s="23"/>
      <c r="C552" s="2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Z552" s="21"/>
      <c r="AP552" s="5"/>
      <c r="AQ552" s="5"/>
      <c r="AR552" s="5"/>
      <c r="AS552" s="5"/>
      <c r="AT552" s="5"/>
      <c r="AU552" s="5"/>
    </row>
    <row r="553" spans="2:47" x14ac:dyDescent="0.15">
      <c r="B553" s="23"/>
      <c r="C553" s="2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Z553" s="21"/>
      <c r="AP553" s="5"/>
      <c r="AQ553" s="5"/>
      <c r="AR553" s="5"/>
      <c r="AS553" s="5"/>
      <c r="AT553" s="5"/>
      <c r="AU553" s="5"/>
    </row>
    <row r="554" spans="2:47" x14ac:dyDescent="0.15">
      <c r="B554" s="23"/>
      <c r="C554" s="2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Z554" s="21"/>
      <c r="AP554" s="5"/>
      <c r="AQ554" s="5"/>
      <c r="AR554" s="5"/>
      <c r="AS554" s="5"/>
      <c r="AT554" s="5"/>
      <c r="AU554" s="5"/>
    </row>
    <row r="555" spans="2:47" x14ac:dyDescent="0.15">
      <c r="B555" s="23"/>
      <c r="C555" s="2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Z555" s="21"/>
      <c r="AP555" s="5"/>
      <c r="AQ555" s="5"/>
      <c r="AR555" s="5"/>
      <c r="AS555" s="5"/>
      <c r="AT555" s="5"/>
      <c r="AU555" s="5"/>
    </row>
    <row r="556" spans="2:47" x14ac:dyDescent="0.15">
      <c r="B556" s="23"/>
      <c r="C556" s="2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Z556" s="21"/>
      <c r="AP556" s="5"/>
      <c r="AQ556" s="5"/>
      <c r="AR556" s="5"/>
      <c r="AS556" s="5"/>
      <c r="AT556" s="5"/>
      <c r="AU556" s="5"/>
    </row>
    <row r="557" spans="2:47" x14ac:dyDescent="0.15">
      <c r="B557" s="23"/>
      <c r="C557" s="2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Z557" s="21"/>
      <c r="AP557" s="5"/>
      <c r="AQ557" s="5"/>
      <c r="AR557" s="5"/>
      <c r="AS557" s="5"/>
      <c r="AT557" s="5"/>
      <c r="AU557" s="5"/>
    </row>
    <row r="558" spans="2:47" x14ac:dyDescent="0.15">
      <c r="B558" s="23"/>
      <c r="C558" s="2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Z558" s="21"/>
      <c r="AP558" s="5"/>
      <c r="AQ558" s="5"/>
      <c r="AR558" s="5"/>
      <c r="AS558" s="5"/>
      <c r="AT558" s="5"/>
      <c r="AU558" s="5"/>
    </row>
    <row r="559" spans="2:47" x14ac:dyDescent="0.15">
      <c r="B559" s="23"/>
      <c r="C559" s="2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Z559" s="21"/>
      <c r="AP559" s="5"/>
      <c r="AQ559" s="5"/>
      <c r="AR559" s="5"/>
      <c r="AS559" s="5"/>
      <c r="AT559" s="5"/>
      <c r="AU559" s="5"/>
    </row>
    <row r="560" spans="2:47" x14ac:dyDescent="0.15">
      <c r="B560" s="23"/>
      <c r="C560" s="2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Z560" s="21"/>
      <c r="AP560" s="5"/>
      <c r="AQ560" s="5"/>
      <c r="AR560" s="5"/>
      <c r="AS560" s="5"/>
      <c r="AT560" s="5"/>
      <c r="AU560" s="5"/>
    </row>
    <row r="561" spans="2:47" x14ac:dyDescent="0.15">
      <c r="B561" s="23"/>
      <c r="C561" s="2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Z561" s="21"/>
      <c r="AP561" s="5"/>
      <c r="AQ561" s="5"/>
      <c r="AR561" s="5"/>
      <c r="AS561" s="5"/>
      <c r="AT561" s="5"/>
      <c r="AU561" s="5"/>
    </row>
    <row r="562" spans="2:47" x14ac:dyDescent="0.15">
      <c r="B562" s="23"/>
      <c r="C562" s="2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Z562" s="21"/>
      <c r="AP562" s="5"/>
      <c r="AQ562" s="5"/>
      <c r="AR562" s="5"/>
      <c r="AS562" s="5"/>
      <c r="AT562" s="5"/>
      <c r="AU562" s="5"/>
    </row>
    <row r="563" spans="2:47" x14ac:dyDescent="0.15">
      <c r="B563" s="23"/>
      <c r="C563" s="2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Z563" s="21"/>
      <c r="AP563" s="5"/>
      <c r="AQ563" s="5"/>
      <c r="AR563" s="5"/>
      <c r="AS563" s="5"/>
      <c r="AT563" s="5"/>
      <c r="AU563" s="5"/>
    </row>
    <row r="564" spans="2:47" x14ac:dyDescent="0.15">
      <c r="B564" s="23"/>
      <c r="C564" s="2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Z564" s="21"/>
      <c r="AP564" s="5"/>
      <c r="AQ564" s="5"/>
      <c r="AR564" s="5"/>
      <c r="AS564" s="5"/>
      <c r="AT564" s="5"/>
      <c r="AU564" s="5"/>
    </row>
    <row r="565" spans="2:47" x14ac:dyDescent="0.15">
      <c r="B565" s="23"/>
      <c r="C565" s="2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Z565" s="21"/>
      <c r="AP565" s="5"/>
      <c r="AQ565" s="5"/>
      <c r="AR565" s="5"/>
      <c r="AS565" s="5"/>
      <c r="AT565" s="5"/>
      <c r="AU565" s="5"/>
    </row>
    <row r="566" spans="2:47" x14ac:dyDescent="0.15">
      <c r="B566" s="23"/>
      <c r="C566" s="2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Z566" s="21"/>
      <c r="AP566" s="5"/>
      <c r="AQ566" s="5"/>
      <c r="AR566" s="5"/>
      <c r="AS566" s="5"/>
      <c r="AT566" s="5"/>
      <c r="AU566" s="5"/>
    </row>
    <row r="567" spans="2:47" x14ac:dyDescent="0.15">
      <c r="B567" s="23"/>
      <c r="C567" s="2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Z567" s="21"/>
      <c r="AP567" s="5"/>
      <c r="AQ567" s="5"/>
      <c r="AR567" s="5"/>
      <c r="AS567" s="5"/>
      <c r="AT567" s="5"/>
      <c r="AU567" s="5"/>
    </row>
    <row r="568" spans="2:47" x14ac:dyDescent="0.15">
      <c r="B568" s="23"/>
      <c r="C568" s="2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Z568" s="21"/>
      <c r="AP568" s="5"/>
      <c r="AQ568" s="5"/>
      <c r="AR568" s="5"/>
      <c r="AS568" s="5"/>
      <c r="AT568" s="5"/>
      <c r="AU568" s="5"/>
    </row>
    <row r="569" spans="2:47" x14ac:dyDescent="0.15">
      <c r="B569" s="23"/>
      <c r="C569" s="2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Z569" s="21"/>
      <c r="AP569" s="5"/>
      <c r="AQ569" s="5"/>
      <c r="AR569" s="5"/>
      <c r="AS569" s="5"/>
      <c r="AT569" s="5"/>
      <c r="AU569" s="5"/>
    </row>
    <row r="570" spans="2:47" x14ac:dyDescent="0.15">
      <c r="B570" s="23"/>
      <c r="C570" s="2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Z570" s="21"/>
      <c r="AP570" s="5"/>
      <c r="AQ570" s="5"/>
      <c r="AR570" s="5"/>
      <c r="AS570" s="5"/>
      <c r="AT570" s="5"/>
      <c r="AU570" s="5"/>
    </row>
    <row r="571" spans="2:47" x14ac:dyDescent="0.15">
      <c r="B571" s="23"/>
      <c r="C571" s="2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Z571" s="21"/>
      <c r="AP571" s="5"/>
      <c r="AQ571" s="5"/>
      <c r="AR571" s="5"/>
      <c r="AS571" s="5"/>
      <c r="AT571" s="5"/>
      <c r="AU571" s="5"/>
    </row>
    <row r="572" spans="2:47" x14ac:dyDescent="0.15">
      <c r="B572" s="23"/>
      <c r="C572" s="2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Z572" s="21"/>
      <c r="AP572" s="5"/>
      <c r="AQ572" s="5"/>
      <c r="AR572" s="5"/>
      <c r="AS572" s="5"/>
      <c r="AT572" s="5"/>
      <c r="AU572" s="5"/>
    </row>
    <row r="573" spans="2:47" x14ac:dyDescent="0.15">
      <c r="B573" s="23"/>
      <c r="C573" s="2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Z573" s="21"/>
      <c r="AP573" s="5"/>
      <c r="AQ573" s="5"/>
      <c r="AR573" s="5"/>
      <c r="AS573" s="5"/>
      <c r="AT573" s="5"/>
      <c r="AU573" s="5"/>
    </row>
    <row r="574" spans="2:47" x14ac:dyDescent="0.15">
      <c r="B574" s="23"/>
      <c r="C574" s="2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Z574" s="21"/>
      <c r="AP574" s="5"/>
      <c r="AQ574" s="5"/>
      <c r="AR574" s="5"/>
      <c r="AS574" s="5"/>
      <c r="AT574" s="5"/>
      <c r="AU574" s="5"/>
    </row>
    <row r="575" spans="2:47" x14ac:dyDescent="0.15">
      <c r="B575" s="23"/>
      <c r="C575" s="2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Z575" s="21"/>
      <c r="AP575" s="5"/>
      <c r="AQ575" s="5"/>
      <c r="AR575" s="5"/>
      <c r="AS575" s="5"/>
      <c r="AT575" s="5"/>
      <c r="AU575" s="5"/>
    </row>
    <row r="576" spans="2:47" x14ac:dyDescent="0.15">
      <c r="B576" s="23"/>
      <c r="C576" s="2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Z576" s="21"/>
      <c r="AP576" s="5"/>
      <c r="AQ576" s="5"/>
      <c r="AR576" s="5"/>
      <c r="AS576" s="5"/>
      <c r="AT576" s="5"/>
      <c r="AU576" s="5"/>
    </row>
    <row r="577" spans="2:47" x14ac:dyDescent="0.15">
      <c r="B577" s="23"/>
      <c r="C577" s="2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Z577" s="21"/>
      <c r="AP577" s="5"/>
      <c r="AQ577" s="5"/>
      <c r="AR577" s="5"/>
      <c r="AS577" s="5"/>
      <c r="AT577" s="5"/>
      <c r="AU577" s="5"/>
    </row>
    <row r="578" spans="2:47" x14ac:dyDescent="0.15">
      <c r="B578" s="23"/>
      <c r="C578" s="2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Z578" s="21"/>
      <c r="AP578" s="5"/>
      <c r="AQ578" s="5"/>
      <c r="AR578" s="5"/>
      <c r="AS578" s="5"/>
      <c r="AT578" s="5"/>
      <c r="AU578" s="5"/>
    </row>
    <row r="579" spans="2:47" x14ac:dyDescent="0.15">
      <c r="B579" s="23"/>
      <c r="C579" s="2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Z579" s="21"/>
      <c r="AP579" s="5"/>
      <c r="AQ579" s="5"/>
      <c r="AR579" s="5"/>
      <c r="AS579" s="5"/>
      <c r="AT579" s="5"/>
      <c r="AU579" s="5"/>
    </row>
    <row r="580" spans="2:47" x14ac:dyDescent="0.15">
      <c r="B580" s="23"/>
      <c r="C580" s="2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Z580" s="21"/>
      <c r="AP580" s="5"/>
      <c r="AQ580" s="5"/>
      <c r="AR580" s="5"/>
      <c r="AS580" s="5"/>
      <c r="AT580" s="5"/>
      <c r="AU580" s="5"/>
    </row>
    <row r="581" spans="2:47" x14ac:dyDescent="0.15">
      <c r="B581" s="23"/>
      <c r="C581" s="2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Z581" s="21"/>
      <c r="AP581" s="5"/>
      <c r="AQ581" s="5"/>
      <c r="AR581" s="5"/>
      <c r="AS581" s="5"/>
      <c r="AT581" s="5"/>
      <c r="AU581" s="5"/>
    </row>
    <row r="582" spans="2:47" x14ac:dyDescent="0.15">
      <c r="B582" s="23"/>
      <c r="C582" s="2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Z582" s="21"/>
      <c r="AP582" s="5"/>
      <c r="AQ582" s="5"/>
      <c r="AR582" s="5"/>
      <c r="AS582" s="5"/>
      <c r="AT582" s="5"/>
      <c r="AU582" s="5"/>
    </row>
    <row r="583" spans="2:47" x14ac:dyDescent="0.15">
      <c r="B583" s="23"/>
      <c r="C583" s="2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Z583" s="21"/>
      <c r="AP583" s="5"/>
      <c r="AQ583" s="5"/>
      <c r="AR583" s="5"/>
      <c r="AS583" s="5"/>
      <c r="AT583" s="5"/>
      <c r="AU583" s="5"/>
    </row>
    <row r="584" spans="2:47" x14ac:dyDescent="0.15">
      <c r="B584" s="23"/>
      <c r="C584" s="2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Z584" s="21"/>
      <c r="AP584" s="5"/>
      <c r="AQ584" s="5"/>
      <c r="AR584" s="5"/>
      <c r="AS584" s="5"/>
      <c r="AT584" s="5"/>
      <c r="AU584" s="5"/>
    </row>
    <row r="585" spans="2:47" x14ac:dyDescent="0.15">
      <c r="B585" s="23"/>
      <c r="C585" s="2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Z585" s="21"/>
      <c r="AP585" s="5"/>
      <c r="AQ585" s="5"/>
      <c r="AR585" s="5"/>
      <c r="AS585" s="5"/>
      <c r="AT585" s="5"/>
      <c r="AU585" s="5"/>
    </row>
    <row r="586" spans="2:47" x14ac:dyDescent="0.15">
      <c r="B586" s="23"/>
      <c r="C586" s="2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Z586" s="21"/>
      <c r="AP586" s="5"/>
      <c r="AQ586" s="5"/>
      <c r="AR586" s="5"/>
      <c r="AS586" s="5"/>
      <c r="AT586" s="5"/>
      <c r="AU586" s="5"/>
    </row>
    <row r="587" spans="2:47" x14ac:dyDescent="0.15">
      <c r="B587" s="23"/>
      <c r="C587" s="2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Z587" s="21"/>
      <c r="AP587" s="5"/>
      <c r="AQ587" s="5"/>
      <c r="AR587" s="5"/>
      <c r="AS587" s="5"/>
      <c r="AT587" s="5"/>
      <c r="AU587" s="5"/>
    </row>
    <row r="588" spans="2:47" x14ac:dyDescent="0.15">
      <c r="B588" s="23"/>
      <c r="C588" s="2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Z588" s="21"/>
      <c r="AP588" s="5"/>
      <c r="AQ588" s="5"/>
      <c r="AR588" s="5"/>
      <c r="AS588" s="5"/>
      <c r="AT588" s="5"/>
      <c r="AU588" s="5"/>
    </row>
    <row r="589" spans="2:47" x14ac:dyDescent="0.15">
      <c r="B589" s="23"/>
      <c r="C589" s="2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Z589" s="21"/>
      <c r="AP589" s="5"/>
      <c r="AQ589" s="5"/>
      <c r="AR589" s="5"/>
      <c r="AS589" s="5"/>
      <c r="AT589" s="5"/>
      <c r="AU589" s="5"/>
    </row>
    <row r="590" spans="2:47" x14ac:dyDescent="0.15">
      <c r="B590" s="23"/>
      <c r="C590" s="2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Z590" s="21"/>
      <c r="AP590" s="5"/>
      <c r="AQ590" s="5"/>
      <c r="AR590" s="5"/>
      <c r="AS590" s="5"/>
      <c r="AT590" s="5"/>
      <c r="AU590" s="5"/>
    </row>
    <row r="591" spans="2:47" x14ac:dyDescent="0.15">
      <c r="B591" s="23"/>
      <c r="C591" s="2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Z591" s="21"/>
      <c r="AP591" s="5"/>
      <c r="AQ591" s="5"/>
      <c r="AR591" s="5"/>
      <c r="AS591" s="5"/>
      <c r="AT591" s="5"/>
      <c r="AU591" s="5"/>
    </row>
    <row r="592" spans="2:47" x14ac:dyDescent="0.15">
      <c r="B592" s="23"/>
      <c r="C592" s="2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Z592" s="21"/>
      <c r="AP592" s="5"/>
      <c r="AQ592" s="5"/>
      <c r="AR592" s="5"/>
      <c r="AS592" s="5"/>
      <c r="AT592" s="5"/>
      <c r="AU592" s="5"/>
    </row>
    <row r="593" spans="2:47" x14ac:dyDescent="0.15">
      <c r="B593" s="23"/>
      <c r="C593" s="2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Z593" s="21"/>
      <c r="AP593" s="5"/>
      <c r="AQ593" s="5"/>
      <c r="AR593" s="5"/>
      <c r="AS593" s="5"/>
      <c r="AT593" s="5"/>
      <c r="AU593" s="5"/>
    </row>
    <row r="594" spans="2:47" x14ac:dyDescent="0.15">
      <c r="B594" s="23"/>
      <c r="C594" s="2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Z594" s="21"/>
      <c r="AP594" s="5"/>
      <c r="AQ594" s="5"/>
      <c r="AR594" s="5"/>
      <c r="AS594" s="5"/>
      <c r="AT594" s="5"/>
      <c r="AU594" s="5"/>
    </row>
    <row r="595" spans="2:47" x14ac:dyDescent="0.15">
      <c r="B595" s="23"/>
      <c r="C595" s="2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Z595" s="21"/>
      <c r="AP595" s="5"/>
      <c r="AQ595" s="5"/>
      <c r="AR595" s="5"/>
      <c r="AS595" s="5"/>
      <c r="AT595" s="5"/>
      <c r="AU595" s="5"/>
    </row>
    <row r="596" spans="2:47" x14ac:dyDescent="0.15">
      <c r="B596" s="23"/>
      <c r="C596" s="2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Z596" s="21"/>
      <c r="AP596" s="5"/>
      <c r="AQ596" s="5"/>
      <c r="AR596" s="5"/>
      <c r="AS596" s="5"/>
      <c r="AT596" s="5"/>
      <c r="AU596" s="5"/>
    </row>
    <row r="597" spans="2:47" x14ac:dyDescent="0.15">
      <c r="B597" s="23"/>
      <c r="C597" s="2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Z597" s="21"/>
      <c r="AP597" s="5"/>
      <c r="AQ597" s="5"/>
      <c r="AR597" s="5"/>
      <c r="AS597" s="5"/>
      <c r="AT597" s="5"/>
      <c r="AU597" s="5"/>
    </row>
    <row r="598" spans="2:47" x14ac:dyDescent="0.15">
      <c r="B598" s="23"/>
      <c r="C598" s="2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Z598" s="21"/>
      <c r="AP598" s="5"/>
      <c r="AQ598" s="5"/>
      <c r="AR598" s="5"/>
      <c r="AS598" s="5"/>
      <c r="AT598" s="5"/>
      <c r="AU598" s="5"/>
    </row>
    <row r="599" spans="2:47" x14ac:dyDescent="0.15">
      <c r="B599" s="23"/>
      <c r="C599" s="2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Z599" s="21"/>
      <c r="AP599" s="5"/>
      <c r="AQ599" s="5"/>
      <c r="AR599" s="5"/>
      <c r="AS599" s="5"/>
      <c r="AT599" s="5"/>
      <c r="AU599" s="5"/>
    </row>
    <row r="600" spans="2:47" x14ac:dyDescent="0.15">
      <c r="B600" s="23"/>
      <c r="C600" s="2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Z600" s="21"/>
      <c r="AP600" s="5"/>
      <c r="AQ600" s="5"/>
      <c r="AR600" s="5"/>
      <c r="AS600" s="5"/>
      <c r="AT600" s="5"/>
      <c r="AU600" s="5"/>
    </row>
    <row r="601" spans="2:47" x14ac:dyDescent="0.15">
      <c r="B601" s="23"/>
      <c r="C601" s="2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Z601" s="21"/>
      <c r="AP601" s="5"/>
      <c r="AQ601" s="5"/>
      <c r="AR601" s="5"/>
      <c r="AS601" s="5"/>
      <c r="AT601" s="5"/>
      <c r="AU601" s="5"/>
    </row>
    <row r="602" spans="2:47" x14ac:dyDescent="0.15">
      <c r="B602" s="23"/>
      <c r="C602" s="2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Z602" s="21"/>
      <c r="AP602" s="5"/>
      <c r="AQ602" s="5"/>
      <c r="AR602" s="5"/>
      <c r="AS602" s="5"/>
      <c r="AT602" s="5"/>
      <c r="AU602" s="5"/>
    </row>
    <row r="603" spans="2:47" x14ac:dyDescent="0.15">
      <c r="B603" s="23"/>
      <c r="C603" s="2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Z603" s="21"/>
      <c r="AP603" s="5"/>
      <c r="AQ603" s="5"/>
      <c r="AR603" s="5"/>
      <c r="AS603" s="5"/>
      <c r="AT603" s="5"/>
      <c r="AU603" s="5"/>
    </row>
    <row r="604" spans="2:47" x14ac:dyDescent="0.15">
      <c r="B604" s="23"/>
      <c r="C604" s="2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Z604" s="21"/>
      <c r="AP604" s="5"/>
      <c r="AQ604" s="5"/>
      <c r="AR604" s="5"/>
      <c r="AS604" s="5"/>
      <c r="AT604" s="5"/>
      <c r="AU604" s="5"/>
    </row>
    <row r="605" spans="2:47" x14ac:dyDescent="0.15">
      <c r="B605" s="23"/>
      <c r="C605" s="2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Z605" s="21"/>
      <c r="AP605" s="5"/>
      <c r="AQ605" s="5"/>
      <c r="AR605" s="5"/>
      <c r="AS605" s="5"/>
      <c r="AT605" s="5"/>
      <c r="AU605" s="5"/>
    </row>
    <row r="606" spans="2:47" x14ac:dyDescent="0.15">
      <c r="B606" s="23"/>
      <c r="C606" s="2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Z606" s="21"/>
      <c r="AP606" s="5"/>
      <c r="AQ606" s="5"/>
      <c r="AR606" s="5"/>
      <c r="AS606" s="5"/>
      <c r="AT606" s="5"/>
      <c r="AU606" s="5"/>
    </row>
    <row r="607" spans="2:47" x14ac:dyDescent="0.15">
      <c r="B607" s="23"/>
      <c r="C607" s="2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Z607" s="21"/>
      <c r="AP607" s="5"/>
      <c r="AQ607" s="5"/>
      <c r="AR607" s="5"/>
      <c r="AS607" s="5"/>
      <c r="AT607" s="5"/>
      <c r="AU607" s="5"/>
    </row>
    <row r="608" spans="2:47" x14ac:dyDescent="0.15">
      <c r="B608" s="23"/>
      <c r="C608" s="2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Z608" s="21"/>
      <c r="AP608" s="5"/>
      <c r="AQ608" s="5"/>
      <c r="AR608" s="5"/>
      <c r="AS608" s="5"/>
      <c r="AT608" s="5"/>
      <c r="AU608" s="5"/>
    </row>
    <row r="609" spans="2:47" x14ac:dyDescent="0.15">
      <c r="B609" s="23"/>
      <c r="C609" s="2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Z609" s="21"/>
      <c r="AP609" s="5"/>
      <c r="AQ609" s="5"/>
      <c r="AR609" s="5"/>
      <c r="AS609" s="5"/>
      <c r="AT609" s="5"/>
      <c r="AU609" s="5"/>
    </row>
    <row r="610" spans="2:47" x14ac:dyDescent="0.15">
      <c r="B610" s="23"/>
      <c r="C610" s="2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Z610" s="21"/>
      <c r="AP610" s="5"/>
      <c r="AQ610" s="5"/>
      <c r="AR610" s="5"/>
      <c r="AS610" s="5"/>
      <c r="AT610" s="5"/>
      <c r="AU610" s="5"/>
    </row>
    <row r="611" spans="2:47" x14ac:dyDescent="0.15">
      <c r="B611" s="23"/>
      <c r="C611" s="2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Z611" s="21"/>
      <c r="AP611" s="5"/>
      <c r="AQ611" s="5"/>
      <c r="AR611" s="5"/>
      <c r="AS611" s="5"/>
      <c r="AT611" s="5"/>
      <c r="AU611" s="5"/>
    </row>
    <row r="612" spans="2:47" x14ac:dyDescent="0.15">
      <c r="B612" s="23"/>
      <c r="C612" s="2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Z612" s="21"/>
      <c r="AP612" s="5"/>
      <c r="AQ612" s="5"/>
      <c r="AR612" s="5"/>
      <c r="AS612" s="5"/>
      <c r="AT612" s="5"/>
      <c r="AU612" s="5"/>
    </row>
    <row r="613" spans="2:47" x14ac:dyDescent="0.15">
      <c r="B613" s="23"/>
      <c r="C613" s="2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Z613" s="21"/>
      <c r="AP613" s="5"/>
      <c r="AQ613" s="5"/>
      <c r="AR613" s="5"/>
      <c r="AS613" s="5"/>
      <c r="AT613" s="5"/>
      <c r="AU613" s="5"/>
    </row>
    <row r="614" spans="2:47" x14ac:dyDescent="0.15">
      <c r="B614" s="23"/>
      <c r="C614" s="2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Z614" s="21"/>
      <c r="AP614" s="5"/>
      <c r="AQ614" s="5"/>
      <c r="AR614" s="5"/>
      <c r="AS614" s="5"/>
      <c r="AT614" s="5"/>
      <c r="AU614" s="5"/>
    </row>
    <row r="615" spans="2:47" x14ac:dyDescent="0.15">
      <c r="B615" s="23"/>
      <c r="C615" s="2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Z615" s="21"/>
      <c r="AP615" s="5"/>
      <c r="AQ615" s="5"/>
      <c r="AR615" s="5"/>
      <c r="AS615" s="5"/>
      <c r="AT615" s="5"/>
      <c r="AU615" s="5"/>
    </row>
    <row r="616" spans="2:47" x14ac:dyDescent="0.15">
      <c r="B616" s="23"/>
      <c r="C616" s="2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Z616" s="21"/>
      <c r="AP616" s="5"/>
      <c r="AQ616" s="5"/>
      <c r="AR616" s="5"/>
      <c r="AS616" s="5"/>
      <c r="AT616" s="5"/>
      <c r="AU616" s="5"/>
    </row>
    <row r="617" spans="2:47" x14ac:dyDescent="0.15">
      <c r="B617" s="23"/>
      <c r="C617" s="2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Z617" s="21"/>
      <c r="AP617" s="5"/>
      <c r="AQ617" s="5"/>
      <c r="AR617" s="5"/>
      <c r="AS617" s="5"/>
      <c r="AT617" s="5"/>
      <c r="AU617" s="5"/>
    </row>
    <row r="618" spans="2:47" x14ac:dyDescent="0.15">
      <c r="B618" s="23"/>
      <c r="C618" s="2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Z618" s="21"/>
      <c r="AP618" s="5"/>
      <c r="AQ618" s="5"/>
      <c r="AR618" s="5"/>
      <c r="AS618" s="5"/>
      <c r="AT618" s="5"/>
      <c r="AU618" s="5"/>
    </row>
    <row r="619" spans="2:47" x14ac:dyDescent="0.15">
      <c r="B619" s="23"/>
      <c r="C619" s="2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Z619" s="21"/>
      <c r="AP619" s="5"/>
      <c r="AQ619" s="5"/>
      <c r="AR619" s="5"/>
      <c r="AS619" s="5"/>
      <c r="AT619" s="5"/>
      <c r="AU619" s="5"/>
    </row>
    <row r="620" spans="2:47" x14ac:dyDescent="0.15">
      <c r="B620" s="23"/>
      <c r="C620" s="2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Z620" s="21"/>
      <c r="AP620" s="5"/>
      <c r="AQ620" s="5"/>
      <c r="AR620" s="5"/>
      <c r="AS620" s="5"/>
      <c r="AT620" s="5"/>
      <c r="AU620" s="5"/>
    </row>
    <row r="621" spans="2:47" x14ac:dyDescent="0.15">
      <c r="B621" s="23"/>
      <c r="C621" s="2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Z621" s="21"/>
      <c r="AP621" s="5"/>
      <c r="AQ621" s="5"/>
      <c r="AR621" s="5"/>
      <c r="AS621" s="5"/>
      <c r="AT621" s="5"/>
      <c r="AU621" s="5"/>
    </row>
    <row r="622" spans="2:47" x14ac:dyDescent="0.15">
      <c r="B622" s="23"/>
      <c r="C622" s="2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Z622" s="21"/>
      <c r="AP622" s="5"/>
      <c r="AQ622" s="5"/>
      <c r="AR622" s="5"/>
      <c r="AS622" s="5"/>
      <c r="AT622" s="5"/>
      <c r="AU622" s="5"/>
    </row>
    <row r="623" spans="2:47" x14ac:dyDescent="0.15">
      <c r="B623" s="23"/>
      <c r="C623" s="2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Z623" s="21"/>
      <c r="AP623" s="5"/>
      <c r="AQ623" s="5"/>
      <c r="AR623" s="5"/>
      <c r="AS623" s="5"/>
      <c r="AT623" s="5"/>
      <c r="AU623" s="5"/>
    </row>
    <row r="624" spans="2:47" x14ac:dyDescent="0.15">
      <c r="B624" s="23"/>
      <c r="C624" s="2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Z624" s="21"/>
      <c r="AP624" s="5"/>
      <c r="AQ624" s="5"/>
      <c r="AR624" s="5"/>
      <c r="AS624" s="5"/>
      <c r="AT624" s="5"/>
      <c r="AU624" s="5"/>
    </row>
    <row r="625" spans="2:47" x14ac:dyDescent="0.15">
      <c r="B625" s="23"/>
      <c r="C625" s="2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Z625" s="21"/>
      <c r="AP625" s="5"/>
      <c r="AQ625" s="5"/>
      <c r="AR625" s="5"/>
      <c r="AS625" s="5"/>
      <c r="AT625" s="5"/>
      <c r="AU625" s="5"/>
    </row>
    <row r="626" spans="2:47" x14ac:dyDescent="0.15">
      <c r="B626" s="23"/>
      <c r="C626" s="2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Z626" s="21"/>
      <c r="AP626" s="5"/>
      <c r="AQ626" s="5"/>
      <c r="AR626" s="5"/>
      <c r="AS626" s="5"/>
      <c r="AT626" s="5"/>
      <c r="AU626" s="5"/>
    </row>
    <row r="627" spans="2:47" x14ac:dyDescent="0.15">
      <c r="B627" s="23"/>
      <c r="C627" s="2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Z627" s="21"/>
      <c r="AP627" s="5"/>
      <c r="AQ627" s="5"/>
      <c r="AR627" s="5"/>
      <c r="AS627" s="5"/>
      <c r="AT627" s="5"/>
      <c r="AU627" s="5"/>
    </row>
    <row r="628" spans="2:47" x14ac:dyDescent="0.15">
      <c r="B628" s="23"/>
      <c r="C628" s="2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Z628" s="21"/>
      <c r="AP628" s="5"/>
      <c r="AQ628" s="5"/>
      <c r="AR628" s="5"/>
      <c r="AS628" s="5"/>
      <c r="AT628" s="5"/>
      <c r="AU628" s="5"/>
    </row>
    <row r="629" spans="2:47" x14ac:dyDescent="0.15">
      <c r="B629" s="23"/>
      <c r="C629" s="2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Z629" s="21"/>
      <c r="AP629" s="5"/>
      <c r="AQ629" s="5"/>
      <c r="AR629" s="5"/>
      <c r="AS629" s="5"/>
      <c r="AT629" s="5"/>
      <c r="AU629" s="5"/>
    </row>
    <row r="630" spans="2:47" x14ac:dyDescent="0.15">
      <c r="B630" s="23"/>
      <c r="C630" s="2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Z630" s="21"/>
      <c r="AP630" s="5"/>
      <c r="AQ630" s="5"/>
      <c r="AR630" s="5"/>
      <c r="AS630" s="5"/>
      <c r="AT630" s="5"/>
      <c r="AU630" s="5"/>
    </row>
    <row r="631" spans="2:47" x14ac:dyDescent="0.15">
      <c r="B631" s="23"/>
      <c r="C631" s="2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Z631" s="21"/>
      <c r="AP631" s="5"/>
      <c r="AQ631" s="5"/>
      <c r="AR631" s="5"/>
      <c r="AS631" s="5"/>
      <c r="AT631" s="5"/>
      <c r="AU631" s="5"/>
    </row>
    <row r="632" spans="2:47" x14ac:dyDescent="0.15">
      <c r="B632" s="23"/>
      <c r="C632" s="2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Z632" s="21"/>
      <c r="AP632" s="5"/>
      <c r="AQ632" s="5"/>
      <c r="AR632" s="5"/>
      <c r="AS632" s="5"/>
      <c r="AT632" s="5"/>
      <c r="AU632" s="5"/>
    </row>
    <row r="633" spans="2:47" x14ac:dyDescent="0.15">
      <c r="B633" s="23"/>
      <c r="C633" s="2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Z633" s="21"/>
      <c r="AP633" s="5"/>
      <c r="AQ633" s="5"/>
      <c r="AR633" s="5"/>
      <c r="AS633" s="5"/>
      <c r="AT633" s="5"/>
      <c r="AU633" s="5"/>
    </row>
    <row r="634" spans="2:47" x14ac:dyDescent="0.15">
      <c r="B634" s="23"/>
      <c r="C634" s="2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Z634" s="21"/>
      <c r="AP634" s="5"/>
      <c r="AQ634" s="5"/>
      <c r="AR634" s="5"/>
      <c r="AS634" s="5"/>
      <c r="AT634" s="5"/>
      <c r="AU634" s="5"/>
    </row>
    <row r="635" spans="2:47" x14ac:dyDescent="0.15">
      <c r="B635" s="23"/>
      <c r="C635" s="2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Z635" s="21"/>
      <c r="AP635" s="5"/>
      <c r="AQ635" s="5"/>
      <c r="AR635" s="5"/>
      <c r="AS635" s="5"/>
      <c r="AT635" s="5"/>
      <c r="AU635" s="5"/>
    </row>
    <row r="636" spans="2:47" x14ac:dyDescent="0.15">
      <c r="B636" s="23"/>
      <c r="C636" s="2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Z636" s="21"/>
      <c r="AP636" s="5"/>
      <c r="AQ636" s="5"/>
      <c r="AR636" s="5"/>
      <c r="AS636" s="5"/>
      <c r="AT636" s="5"/>
      <c r="AU636" s="5"/>
    </row>
    <row r="637" spans="2:47" x14ac:dyDescent="0.15">
      <c r="B637" s="23"/>
      <c r="C637" s="2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Z637" s="21"/>
      <c r="AP637" s="5"/>
      <c r="AQ637" s="5"/>
      <c r="AR637" s="5"/>
      <c r="AS637" s="5"/>
      <c r="AT637" s="5"/>
      <c r="AU637" s="5"/>
    </row>
    <row r="638" spans="2:47" x14ac:dyDescent="0.15">
      <c r="B638" s="23"/>
      <c r="C638" s="2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Z638" s="21"/>
      <c r="AP638" s="5"/>
      <c r="AQ638" s="5"/>
      <c r="AR638" s="5"/>
      <c r="AS638" s="5"/>
      <c r="AT638" s="5"/>
      <c r="AU638" s="5"/>
    </row>
    <row r="639" spans="2:47" x14ac:dyDescent="0.15">
      <c r="B639" s="23"/>
      <c r="C639" s="2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Z639" s="21"/>
      <c r="AP639" s="5"/>
      <c r="AQ639" s="5"/>
      <c r="AR639" s="5"/>
      <c r="AS639" s="5"/>
      <c r="AT639" s="5"/>
      <c r="AU639" s="5"/>
    </row>
    <row r="640" spans="2:47" x14ac:dyDescent="0.15">
      <c r="B640" s="23"/>
      <c r="C640" s="2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Z640" s="21"/>
      <c r="AP640" s="5"/>
      <c r="AQ640" s="5"/>
      <c r="AR640" s="5"/>
      <c r="AS640" s="5"/>
      <c r="AT640" s="5"/>
      <c r="AU640" s="5"/>
    </row>
    <row r="641" spans="2:47" x14ac:dyDescent="0.15">
      <c r="B641" s="23"/>
      <c r="C641" s="2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Z641" s="21"/>
      <c r="AP641" s="5"/>
      <c r="AQ641" s="5"/>
      <c r="AR641" s="5"/>
      <c r="AS641" s="5"/>
      <c r="AT641" s="5"/>
      <c r="AU641" s="5"/>
    </row>
    <row r="642" spans="2:47" x14ac:dyDescent="0.15">
      <c r="B642" s="23"/>
      <c r="C642" s="2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Z642" s="21"/>
      <c r="AP642" s="5"/>
      <c r="AQ642" s="5"/>
      <c r="AR642" s="5"/>
      <c r="AS642" s="5"/>
      <c r="AT642" s="5"/>
      <c r="AU642" s="5"/>
    </row>
    <row r="643" spans="2:47" x14ac:dyDescent="0.15">
      <c r="B643" s="23"/>
      <c r="C643" s="2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Z643" s="21"/>
      <c r="AP643" s="5"/>
      <c r="AQ643" s="5"/>
      <c r="AR643" s="5"/>
      <c r="AS643" s="5"/>
      <c r="AT643" s="5"/>
      <c r="AU643" s="5"/>
    </row>
    <row r="644" spans="2:47" x14ac:dyDescent="0.15">
      <c r="B644" s="23"/>
      <c r="C644" s="2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Z644" s="21"/>
      <c r="AP644" s="5"/>
      <c r="AQ644" s="5"/>
      <c r="AR644" s="5"/>
      <c r="AS644" s="5"/>
      <c r="AT644" s="5"/>
      <c r="AU644" s="5"/>
    </row>
    <row r="645" spans="2:47" x14ac:dyDescent="0.15">
      <c r="B645" s="23"/>
      <c r="C645" s="2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Z645" s="21"/>
      <c r="AP645" s="5"/>
      <c r="AQ645" s="5"/>
      <c r="AR645" s="5"/>
      <c r="AS645" s="5"/>
      <c r="AT645" s="5"/>
      <c r="AU645" s="5"/>
    </row>
    <row r="646" spans="2:47" x14ac:dyDescent="0.15">
      <c r="B646" s="23"/>
      <c r="C646" s="2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Z646" s="21"/>
      <c r="AP646" s="5"/>
      <c r="AQ646" s="5"/>
      <c r="AR646" s="5"/>
      <c r="AS646" s="5"/>
      <c r="AT646" s="5"/>
      <c r="AU646" s="5"/>
    </row>
    <row r="647" spans="2:47" x14ac:dyDescent="0.15">
      <c r="B647" s="23"/>
      <c r="C647" s="2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Z647" s="21"/>
      <c r="AP647" s="5"/>
      <c r="AQ647" s="5"/>
      <c r="AR647" s="5"/>
      <c r="AS647" s="5"/>
      <c r="AT647" s="5"/>
      <c r="AU647" s="5"/>
    </row>
    <row r="648" spans="2:47" x14ac:dyDescent="0.15">
      <c r="B648" s="23"/>
      <c r="C648" s="2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Z648" s="21"/>
      <c r="AP648" s="5"/>
      <c r="AQ648" s="5"/>
      <c r="AR648" s="5"/>
      <c r="AS648" s="5"/>
      <c r="AT648" s="5"/>
      <c r="AU648" s="5"/>
    </row>
    <row r="649" spans="2:47" x14ac:dyDescent="0.15">
      <c r="B649" s="23"/>
      <c r="C649" s="2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Z649" s="21"/>
      <c r="AP649" s="5"/>
      <c r="AQ649" s="5"/>
      <c r="AR649" s="5"/>
      <c r="AS649" s="5"/>
      <c r="AT649" s="5"/>
      <c r="AU649" s="5"/>
    </row>
    <row r="650" spans="2:47" x14ac:dyDescent="0.15">
      <c r="B650" s="23"/>
      <c r="C650" s="2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Z650" s="21"/>
      <c r="AP650" s="5"/>
      <c r="AQ650" s="5"/>
      <c r="AR650" s="5"/>
      <c r="AS650" s="5"/>
      <c r="AT650" s="5"/>
      <c r="AU650" s="5"/>
    </row>
    <row r="651" spans="2:47" x14ac:dyDescent="0.15">
      <c r="B651" s="23"/>
      <c r="C651" s="2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Z651" s="21"/>
      <c r="AP651" s="5"/>
      <c r="AQ651" s="5"/>
      <c r="AR651" s="5"/>
      <c r="AS651" s="5"/>
      <c r="AT651" s="5"/>
      <c r="AU651" s="5"/>
    </row>
    <row r="652" spans="2:47" x14ac:dyDescent="0.15">
      <c r="B652" s="23"/>
      <c r="C652" s="2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Z652" s="21"/>
      <c r="AP652" s="5"/>
      <c r="AQ652" s="5"/>
      <c r="AR652" s="5"/>
      <c r="AS652" s="5"/>
      <c r="AT652" s="5"/>
      <c r="AU652" s="5"/>
    </row>
    <row r="653" spans="2:47" x14ac:dyDescent="0.15">
      <c r="B653" s="23"/>
      <c r="C653" s="2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Z653" s="21"/>
      <c r="AP653" s="5"/>
      <c r="AQ653" s="5"/>
      <c r="AR653" s="5"/>
      <c r="AS653" s="5"/>
      <c r="AT653" s="5"/>
      <c r="AU653" s="5"/>
    </row>
    <row r="654" spans="2:47" x14ac:dyDescent="0.15">
      <c r="B654" s="23"/>
      <c r="C654" s="2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Z654" s="21"/>
      <c r="AP654" s="5"/>
      <c r="AQ654" s="5"/>
      <c r="AR654" s="5"/>
      <c r="AS654" s="5"/>
      <c r="AT654" s="5"/>
      <c r="AU654" s="5"/>
    </row>
    <row r="655" spans="2:47" x14ac:dyDescent="0.15">
      <c r="B655" s="23"/>
      <c r="C655" s="2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Z655" s="21"/>
      <c r="AP655" s="5"/>
      <c r="AQ655" s="5"/>
      <c r="AR655" s="5"/>
      <c r="AS655" s="5"/>
      <c r="AT655" s="5"/>
      <c r="AU655" s="5"/>
    </row>
    <row r="656" spans="2:47" x14ac:dyDescent="0.15">
      <c r="B656" s="23"/>
      <c r="C656" s="2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Z656" s="21"/>
      <c r="AP656" s="5"/>
      <c r="AQ656" s="5"/>
      <c r="AR656" s="5"/>
      <c r="AS656" s="5"/>
      <c r="AT656" s="5"/>
      <c r="AU656" s="5"/>
    </row>
    <row r="657" spans="2:47" x14ac:dyDescent="0.15">
      <c r="B657" s="23"/>
      <c r="C657" s="2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Z657" s="21"/>
      <c r="AP657" s="5"/>
      <c r="AQ657" s="5"/>
      <c r="AR657" s="5"/>
      <c r="AS657" s="5"/>
      <c r="AT657" s="5"/>
      <c r="AU657" s="5"/>
    </row>
    <row r="658" spans="2:47" x14ac:dyDescent="0.15">
      <c r="B658" s="23"/>
      <c r="C658" s="2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Z658" s="21"/>
      <c r="AP658" s="5"/>
      <c r="AQ658" s="5"/>
      <c r="AR658" s="5"/>
      <c r="AS658" s="5"/>
      <c r="AT658" s="5"/>
      <c r="AU658" s="5"/>
    </row>
    <row r="659" spans="2:47" x14ac:dyDescent="0.15">
      <c r="B659" s="23"/>
      <c r="C659" s="2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Z659" s="21"/>
      <c r="AP659" s="5"/>
      <c r="AQ659" s="5"/>
      <c r="AR659" s="5"/>
      <c r="AS659" s="5"/>
      <c r="AT659" s="5"/>
      <c r="AU659" s="5"/>
    </row>
    <row r="660" spans="2:47" x14ac:dyDescent="0.15">
      <c r="B660" s="23"/>
      <c r="C660" s="2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Z660" s="21"/>
      <c r="AP660" s="5"/>
      <c r="AQ660" s="5"/>
      <c r="AR660" s="5"/>
      <c r="AS660" s="5"/>
      <c r="AT660" s="5"/>
      <c r="AU660" s="5"/>
    </row>
    <row r="661" spans="2:47" x14ac:dyDescent="0.15">
      <c r="B661" s="23"/>
      <c r="C661" s="2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Z661" s="21"/>
      <c r="AP661" s="5"/>
      <c r="AQ661" s="5"/>
      <c r="AR661" s="5"/>
      <c r="AS661" s="5"/>
      <c r="AT661" s="5"/>
      <c r="AU661" s="5"/>
    </row>
    <row r="662" spans="2:47" x14ac:dyDescent="0.15">
      <c r="B662" s="23"/>
      <c r="C662" s="2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Z662" s="21"/>
      <c r="AP662" s="5"/>
      <c r="AQ662" s="5"/>
      <c r="AR662" s="5"/>
      <c r="AS662" s="5"/>
      <c r="AT662" s="5"/>
      <c r="AU662" s="5"/>
    </row>
    <row r="663" spans="2:47" x14ac:dyDescent="0.15">
      <c r="B663" s="23"/>
      <c r="C663" s="2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Z663" s="21"/>
      <c r="AP663" s="5"/>
      <c r="AQ663" s="5"/>
      <c r="AR663" s="5"/>
      <c r="AS663" s="5"/>
      <c r="AT663" s="5"/>
      <c r="AU663" s="5"/>
    </row>
    <row r="664" spans="2:47" x14ac:dyDescent="0.15">
      <c r="B664" s="23"/>
      <c r="C664" s="2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Z664" s="21"/>
      <c r="AP664" s="5"/>
      <c r="AQ664" s="5"/>
      <c r="AR664" s="5"/>
      <c r="AS664" s="5"/>
      <c r="AT664" s="5"/>
      <c r="AU664" s="5"/>
    </row>
    <row r="665" spans="2:47" x14ac:dyDescent="0.15">
      <c r="B665" s="23"/>
      <c r="C665" s="2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Z665" s="21"/>
      <c r="AP665" s="5"/>
      <c r="AQ665" s="5"/>
      <c r="AR665" s="5"/>
      <c r="AS665" s="5"/>
      <c r="AT665" s="5"/>
      <c r="AU665" s="5"/>
    </row>
    <row r="666" spans="2:47" x14ac:dyDescent="0.15">
      <c r="B666" s="23"/>
      <c r="C666" s="2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Z666" s="21"/>
      <c r="AP666" s="5"/>
      <c r="AQ666" s="5"/>
      <c r="AR666" s="5"/>
      <c r="AS666" s="5"/>
      <c r="AT666" s="5"/>
      <c r="AU666" s="5"/>
    </row>
    <row r="667" spans="2:47" x14ac:dyDescent="0.15">
      <c r="B667" s="23"/>
      <c r="C667" s="2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Z667" s="21"/>
      <c r="AP667" s="5"/>
      <c r="AQ667" s="5"/>
      <c r="AR667" s="5"/>
      <c r="AS667" s="5"/>
      <c r="AT667" s="5"/>
      <c r="AU667" s="5"/>
    </row>
    <row r="668" spans="2:47" x14ac:dyDescent="0.15">
      <c r="B668" s="23"/>
      <c r="C668" s="2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Z668" s="21"/>
      <c r="AP668" s="5"/>
      <c r="AQ668" s="5"/>
      <c r="AR668" s="5"/>
      <c r="AS668" s="5"/>
      <c r="AT668" s="5"/>
      <c r="AU668" s="5"/>
    </row>
    <row r="669" spans="2:47" x14ac:dyDescent="0.15">
      <c r="B669" s="23"/>
      <c r="C669" s="2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Z669" s="21"/>
      <c r="AP669" s="5"/>
      <c r="AQ669" s="5"/>
      <c r="AR669" s="5"/>
      <c r="AS669" s="5"/>
      <c r="AT669" s="5"/>
      <c r="AU669" s="5"/>
    </row>
    <row r="670" spans="2:47" x14ac:dyDescent="0.15">
      <c r="B670" s="23"/>
      <c r="C670" s="2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Z670" s="21"/>
      <c r="AP670" s="5"/>
      <c r="AQ670" s="5"/>
      <c r="AR670" s="5"/>
      <c r="AS670" s="5"/>
      <c r="AT670" s="5"/>
      <c r="AU670" s="5"/>
    </row>
    <row r="671" spans="2:47" x14ac:dyDescent="0.15">
      <c r="B671" s="23"/>
      <c r="C671" s="2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Z671" s="21"/>
      <c r="AP671" s="5"/>
      <c r="AQ671" s="5"/>
      <c r="AR671" s="5"/>
      <c r="AS671" s="5"/>
      <c r="AT671" s="5"/>
      <c r="AU671" s="5"/>
    </row>
    <row r="672" spans="2:47" x14ac:dyDescent="0.15">
      <c r="B672" s="23"/>
      <c r="C672" s="2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Z672" s="21"/>
      <c r="AP672" s="5"/>
      <c r="AQ672" s="5"/>
      <c r="AR672" s="5"/>
      <c r="AS672" s="5"/>
      <c r="AT672" s="5"/>
      <c r="AU672" s="5"/>
    </row>
    <row r="673" spans="2:47" x14ac:dyDescent="0.15">
      <c r="B673" s="23"/>
      <c r="C673" s="2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Z673" s="21"/>
      <c r="AP673" s="5"/>
      <c r="AQ673" s="5"/>
      <c r="AR673" s="5"/>
      <c r="AS673" s="5"/>
      <c r="AT673" s="5"/>
      <c r="AU673" s="5"/>
    </row>
    <row r="674" spans="2:47" x14ac:dyDescent="0.15">
      <c r="B674" s="23"/>
      <c r="C674" s="2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Z674" s="21"/>
      <c r="AP674" s="5"/>
      <c r="AQ674" s="5"/>
      <c r="AR674" s="5"/>
      <c r="AS674" s="5"/>
      <c r="AT674" s="5"/>
      <c r="AU674" s="5"/>
    </row>
    <row r="675" spans="2:47" x14ac:dyDescent="0.15">
      <c r="B675" s="23"/>
      <c r="C675" s="2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Z675" s="21"/>
      <c r="AP675" s="5"/>
      <c r="AQ675" s="5"/>
      <c r="AR675" s="5"/>
      <c r="AS675" s="5"/>
      <c r="AT675" s="5"/>
      <c r="AU675" s="5"/>
    </row>
    <row r="676" spans="2:47" x14ac:dyDescent="0.15">
      <c r="B676" s="23"/>
      <c r="C676" s="2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Z676" s="21"/>
      <c r="AP676" s="5"/>
      <c r="AQ676" s="5"/>
      <c r="AR676" s="5"/>
      <c r="AS676" s="5"/>
      <c r="AT676" s="5"/>
      <c r="AU676" s="5"/>
    </row>
    <row r="677" spans="2:47" x14ac:dyDescent="0.15">
      <c r="B677" s="23"/>
      <c r="C677" s="2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Z677" s="21"/>
      <c r="AP677" s="5"/>
      <c r="AQ677" s="5"/>
      <c r="AR677" s="5"/>
      <c r="AS677" s="5"/>
      <c r="AT677" s="5"/>
      <c r="AU677" s="5"/>
    </row>
    <row r="678" spans="2:47" x14ac:dyDescent="0.15">
      <c r="B678" s="23"/>
      <c r="C678" s="2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Z678" s="21"/>
      <c r="AP678" s="5"/>
      <c r="AQ678" s="5"/>
      <c r="AR678" s="5"/>
      <c r="AS678" s="5"/>
      <c r="AT678" s="5"/>
      <c r="AU678" s="5"/>
    </row>
    <row r="679" spans="2:47" x14ac:dyDescent="0.15">
      <c r="B679" s="23"/>
      <c r="C679" s="2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Z679" s="21"/>
      <c r="AP679" s="5"/>
      <c r="AQ679" s="5"/>
      <c r="AR679" s="5"/>
      <c r="AS679" s="5"/>
      <c r="AT679" s="5"/>
      <c r="AU679" s="5"/>
    </row>
    <row r="680" spans="2:47" x14ac:dyDescent="0.15">
      <c r="B680" s="23"/>
      <c r="C680" s="2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Z680" s="21"/>
      <c r="AP680" s="5"/>
      <c r="AQ680" s="5"/>
      <c r="AR680" s="5"/>
      <c r="AS680" s="5"/>
      <c r="AT680" s="5"/>
      <c r="AU680" s="5"/>
    </row>
    <row r="681" spans="2:47" x14ac:dyDescent="0.15">
      <c r="B681" s="23"/>
      <c r="C681" s="2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Z681" s="21"/>
      <c r="AP681" s="5"/>
      <c r="AQ681" s="5"/>
      <c r="AR681" s="5"/>
      <c r="AS681" s="5"/>
      <c r="AT681" s="5"/>
      <c r="AU681" s="5"/>
    </row>
    <row r="682" spans="2:47" x14ac:dyDescent="0.15">
      <c r="B682" s="23"/>
      <c r="C682" s="2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Z682" s="21"/>
      <c r="AP682" s="5"/>
      <c r="AQ682" s="5"/>
      <c r="AR682" s="5"/>
      <c r="AS682" s="5"/>
      <c r="AT682" s="5"/>
      <c r="AU682" s="5"/>
    </row>
    <row r="683" spans="2:47" x14ac:dyDescent="0.15">
      <c r="B683" s="23"/>
      <c r="C683" s="2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Z683" s="21"/>
      <c r="AP683" s="5"/>
      <c r="AQ683" s="5"/>
      <c r="AR683" s="5"/>
      <c r="AS683" s="5"/>
      <c r="AT683" s="5"/>
      <c r="AU683" s="5"/>
    </row>
    <row r="684" spans="2:47" x14ac:dyDescent="0.15">
      <c r="B684" s="23"/>
      <c r="C684" s="2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Z684" s="21"/>
      <c r="AP684" s="5"/>
      <c r="AQ684" s="5"/>
      <c r="AR684" s="5"/>
      <c r="AS684" s="5"/>
      <c r="AT684" s="5"/>
      <c r="AU684" s="5"/>
    </row>
    <row r="685" spans="2:47" x14ac:dyDescent="0.15">
      <c r="B685" s="23"/>
      <c r="C685" s="2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Z685" s="21"/>
      <c r="AP685" s="5"/>
      <c r="AQ685" s="5"/>
      <c r="AR685" s="5"/>
      <c r="AS685" s="5"/>
      <c r="AT685" s="5"/>
      <c r="AU685" s="5"/>
    </row>
    <row r="686" spans="2:47" x14ac:dyDescent="0.15">
      <c r="B686" s="23"/>
      <c r="C686" s="2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Z686" s="21"/>
      <c r="AP686" s="5"/>
      <c r="AQ686" s="5"/>
      <c r="AR686" s="5"/>
      <c r="AS686" s="5"/>
      <c r="AT686" s="5"/>
      <c r="AU686" s="5"/>
    </row>
    <row r="687" spans="2:47" x14ac:dyDescent="0.15">
      <c r="B687" s="23"/>
      <c r="C687" s="2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Z687" s="21"/>
      <c r="AP687" s="5"/>
      <c r="AQ687" s="5"/>
      <c r="AR687" s="5"/>
      <c r="AS687" s="5"/>
      <c r="AT687" s="5"/>
      <c r="AU687" s="5"/>
    </row>
    <row r="688" spans="2:47" x14ac:dyDescent="0.15">
      <c r="B688" s="23"/>
      <c r="C688" s="2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Z688" s="21"/>
      <c r="AP688" s="5"/>
      <c r="AQ688" s="5"/>
      <c r="AR688" s="5"/>
      <c r="AS688" s="5"/>
      <c r="AT688" s="5"/>
      <c r="AU688" s="5"/>
    </row>
    <row r="689" spans="2:47" x14ac:dyDescent="0.15">
      <c r="B689" s="23"/>
      <c r="C689" s="2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Z689" s="21"/>
      <c r="AP689" s="5"/>
      <c r="AQ689" s="5"/>
      <c r="AR689" s="5"/>
      <c r="AS689" s="5"/>
      <c r="AT689" s="5"/>
      <c r="AU689" s="5"/>
    </row>
    <row r="690" spans="2:47" x14ac:dyDescent="0.15">
      <c r="B690" s="23"/>
      <c r="C690" s="2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Z690" s="21"/>
      <c r="AP690" s="5"/>
      <c r="AQ690" s="5"/>
      <c r="AR690" s="5"/>
      <c r="AS690" s="5"/>
      <c r="AT690" s="5"/>
      <c r="AU690" s="5"/>
    </row>
    <row r="691" spans="2:47" x14ac:dyDescent="0.15">
      <c r="B691" s="23"/>
      <c r="C691" s="2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Z691" s="21"/>
      <c r="AP691" s="5"/>
      <c r="AQ691" s="5"/>
      <c r="AR691" s="5"/>
      <c r="AS691" s="5"/>
      <c r="AT691" s="5"/>
      <c r="AU691" s="5"/>
    </row>
    <row r="692" spans="2:47" x14ac:dyDescent="0.15">
      <c r="B692" s="23"/>
      <c r="C692" s="2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Z692" s="21"/>
      <c r="AP692" s="5"/>
      <c r="AQ692" s="5"/>
      <c r="AR692" s="5"/>
      <c r="AS692" s="5"/>
      <c r="AT692" s="5"/>
      <c r="AU692" s="5"/>
    </row>
    <row r="693" spans="2:47" x14ac:dyDescent="0.15">
      <c r="B693" s="23"/>
      <c r="C693" s="2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Z693" s="21"/>
      <c r="AP693" s="5"/>
      <c r="AQ693" s="5"/>
      <c r="AR693" s="5"/>
      <c r="AS693" s="5"/>
      <c r="AT693" s="5"/>
      <c r="AU693" s="5"/>
    </row>
    <row r="694" spans="2:47" x14ac:dyDescent="0.15">
      <c r="B694" s="23"/>
      <c r="C694" s="2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Z694" s="21"/>
      <c r="AP694" s="5"/>
      <c r="AQ694" s="5"/>
      <c r="AR694" s="5"/>
      <c r="AS694" s="5"/>
      <c r="AT694" s="5"/>
      <c r="AU694" s="5"/>
    </row>
    <row r="695" spans="2:47" x14ac:dyDescent="0.15">
      <c r="B695" s="23"/>
      <c r="C695" s="2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Z695" s="21"/>
      <c r="AP695" s="5"/>
      <c r="AQ695" s="5"/>
      <c r="AR695" s="5"/>
      <c r="AS695" s="5"/>
      <c r="AT695" s="5"/>
      <c r="AU695" s="5"/>
    </row>
    <row r="696" spans="2:47" x14ac:dyDescent="0.15">
      <c r="B696" s="23"/>
      <c r="C696" s="2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Z696" s="21"/>
      <c r="AP696" s="5"/>
      <c r="AQ696" s="5"/>
      <c r="AR696" s="5"/>
      <c r="AS696" s="5"/>
      <c r="AT696" s="5"/>
      <c r="AU696" s="5"/>
    </row>
    <row r="697" spans="2:47" x14ac:dyDescent="0.15">
      <c r="B697" s="23"/>
      <c r="C697" s="2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Z697" s="21"/>
      <c r="AP697" s="5"/>
      <c r="AQ697" s="5"/>
      <c r="AR697" s="5"/>
      <c r="AS697" s="5"/>
      <c r="AT697" s="5"/>
      <c r="AU697" s="5"/>
    </row>
    <row r="698" spans="2:47" x14ac:dyDescent="0.15">
      <c r="B698" s="23"/>
      <c r="C698" s="2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Z698" s="21"/>
      <c r="AP698" s="5"/>
      <c r="AQ698" s="5"/>
      <c r="AR698" s="5"/>
      <c r="AS698" s="5"/>
      <c r="AT698" s="5"/>
      <c r="AU698" s="5"/>
    </row>
    <row r="699" spans="2:47" x14ac:dyDescent="0.15">
      <c r="B699" s="23"/>
      <c r="C699" s="2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Z699" s="21"/>
      <c r="AP699" s="5"/>
      <c r="AQ699" s="5"/>
      <c r="AR699" s="5"/>
      <c r="AS699" s="5"/>
      <c r="AT699" s="5"/>
      <c r="AU699" s="5"/>
    </row>
    <row r="700" spans="2:47" x14ac:dyDescent="0.15">
      <c r="B700" s="23"/>
      <c r="C700" s="2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Z700" s="21"/>
      <c r="AP700" s="5"/>
      <c r="AQ700" s="5"/>
      <c r="AR700" s="5"/>
      <c r="AS700" s="5"/>
      <c r="AT700" s="5"/>
      <c r="AU700" s="5"/>
    </row>
    <row r="701" spans="2:47" x14ac:dyDescent="0.15">
      <c r="B701" s="23"/>
      <c r="C701" s="2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Z701" s="21"/>
      <c r="AP701" s="5"/>
      <c r="AQ701" s="5"/>
      <c r="AR701" s="5"/>
      <c r="AS701" s="5"/>
      <c r="AT701" s="5"/>
      <c r="AU701" s="5"/>
    </row>
    <row r="702" spans="2:47" x14ac:dyDescent="0.15">
      <c r="B702" s="23"/>
      <c r="C702" s="2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Z702" s="21"/>
      <c r="AP702" s="5"/>
      <c r="AQ702" s="5"/>
      <c r="AR702" s="5"/>
      <c r="AS702" s="5"/>
      <c r="AT702" s="5"/>
      <c r="AU702" s="5"/>
    </row>
    <row r="703" spans="2:47" x14ac:dyDescent="0.15">
      <c r="B703" s="23"/>
      <c r="C703" s="2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Z703" s="21"/>
      <c r="AP703" s="5"/>
      <c r="AQ703" s="5"/>
      <c r="AR703" s="5"/>
      <c r="AS703" s="5"/>
      <c r="AT703" s="5"/>
      <c r="AU703" s="5"/>
    </row>
    <row r="704" spans="2:47" x14ac:dyDescent="0.15">
      <c r="B704" s="23"/>
      <c r="C704" s="2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Z704" s="21"/>
      <c r="AP704" s="5"/>
      <c r="AQ704" s="5"/>
      <c r="AR704" s="5"/>
      <c r="AS704" s="5"/>
      <c r="AT704" s="5"/>
      <c r="AU704" s="5"/>
    </row>
    <row r="705" spans="2:47" x14ac:dyDescent="0.15">
      <c r="B705" s="23"/>
      <c r="C705" s="2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Z705" s="21"/>
      <c r="AP705" s="5"/>
      <c r="AQ705" s="5"/>
      <c r="AR705" s="5"/>
      <c r="AS705" s="5"/>
      <c r="AT705" s="5"/>
      <c r="AU705" s="5"/>
    </row>
    <row r="706" spans="2:47" x14ac:dyDescent="0.15">
      <c r="B706" s="23"/>
      <c r="C706" s="2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Z706" s="21"/>
      <c r="AP706" s="5"/>
      <c r="AQ706" s="5"/>
      <c r="AR706" s="5"/>
      <c r="AS706" s="5"/>
      <c r="AT706" s="5"/>
      <c r="AU706" s="5"/>
    </row>
    <row r="707" spans="2:47" x14ac:dyDescent="0.15">
      <c r="B707" s="23"/>
      <c r="C707" s="2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Z707" s="21"/>
      <c r="AP707" s="5"/>
      <c r="AQ707" s="5"/>
      <c r="AR707" s="5"/>
      <c r="AS707" s="5"/>
      <c r="AT707" s="5"/>
      <c r="AU707" s="5"/>
    </row>
    <row r="708" spans="2:47" x14ac:dyDescent="0.15">
      <c r="B708" s="23"/>
      <c r="C708" s="2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Z708" s="21"/>
      <c r="AP708" s="5"/>
      <c r="AQ708" s="5"/>
      <c r="AR708" s="5"/>
      <c r="AS708" s="5"/>
      <c r="AT708" s="5"/>
      <c r="AU708" s="5"/>
    </row>
    <row r="709" spans="2:47" x14ac:dyDescent="0.15">
      <c r="B709" s="23"/>
      <c r="C709" s="2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Z709" s="21"/>
      <c r="AP709" s="5"/>
      <c r="AQ709" s="5"/>
      <c r="AR709" s="5"/>
      <c r="AS709" s="5"/>
      <c r="AT709" s="5"/>
      <c r="AU709" s="5"/>
    </row>
    <row r="710" spans="2:47" x14ac:dyDescent="0.15">
      <c r="B710" s="23"/>
      <c r="C710" s="2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Z710" s="21"/>
      <c r="AP710" s="5"/>
      <c r="AQ710" s="5"/>
      <c r="AR710" s="5"/>
      <c r="AS710" s="5"/>
      <c r="AT710" s="5"/>
      <c r="AU710" s="5"/>
    </row>
    <row r="711" spans="2:47" x14ac:dyDescent="0.15">
      <c r="B711" s="23"/>
      <c r="C711" s="2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Z711" s="21"/>
      <c r="AP711" s="5"/>
      <c r="AQ711" s="5"/>
      <c r="AR711" s="5"/>
      <c r="AS711" s="5"/>
      <c r="AT711" s="5"/>
      <c r="AU711" s="5"/>
    </row>
    <row r="712" spans="2:47" x14ac:dyDescent="0.15">
      <c r="B712" s="23"/>
      <c r="C712" s="2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Z712" s="21"/>
      <c r="AP712" s="5"/>
      <c r="AQ712" s="5"/>
      <c r="AR712" s="5"/>
      <c r="AS712" s="5"/>
      <c r="AT712" s="5"/>
      <c r="AU712" s="5"/>
    </row>
    <row r="713" spans="2:47" x14ac:dyDescent="0.15">
      <c r="B713" s="23"/>
      <c r="C713" s="2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Z713" s="21"/>
      <c r="AP713" s="5"/>
      <c r="AQ713" s="5"/>
      <c r="AR713" s="5"/>
      <c r="AS713" s="5"/>
      <c r="AT713" s="5"/>
      <c r="AU713" s="5"/>
    </row>
    <row r="714" spans="2:47" x14ac:dyDescent="0.15">
      <c r="B714" s="23"/>
      <c r="C714" s="2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Z714" s="21"/>
      <c r="AP714" s="5"/>
      <c r="AQ714" s="5"/>
      <c r="AR714" s="5"/>
      <c r="AS714" s="5"/>
      <c r="AT714" s="5"/>
      <c r="AU714" s="5"/>
    </row>
    <row r="715" spans="2:47" x14ac:dyDescent="0.15">
      <c r="B715" s="23"/>
      <c r="C715" s="2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Z715" s="21"/>
      <c r="AP715" s="5"/>
      <c r="AQ715" s="5"/>
      <c r="AR715" s="5"/>
      <c r="AS715" s="5"/>
      <c r="AT715" s="5"/>
      <c r="AU715" s="5"/>
    </row>
    <row r="716" spans="2:47" x14ac:dyDescent="0.15">
      <c r="B716" s="23"/>
      <c r="C716" s="2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Z716" s="21"/>
      <c r="AP716" s="5"/>
      <c r="AQ716" s="5"/>
      <c r="AR716" s="5"/>
      <c r="AS716" s="5"/>
      <c r="AT716" s="5"/>
      <c r="AU716" s="5"/>
    </row>
    <row r="717" spans="2:47" x14ac:dyDescent="0.15">
      <c r="B717" s="23"/>
      <c r="C717" s="2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Z717" s="21"/>
      <c r="AP717" s="5"/>
      <c r="AQ717" s="5"/>
      <c r="AR717" s="5"/>
      <c r="AS717" s="5"/>
      <c r="AT717" s="5"/>
      <c r="AU717" s="5"/>
    </row>
    <row r="718" spans="2:47" x14ac:dyDescent="0.15">
      <c r="B718" s="23"/>
      <c r="C718" s="2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Z718" s="21"/>
      <c r="AP718" s="5"/>
      <c r="AQ718" s="5"/>
      <c r="AR718" s="5"/>
      <c r="AS718" s="5"/>
      <c r="AT718" s="5"/>
      <c r="AU718" s="5"/>
    </row>
    <row r="719" spans="2:47" x14ac:dyDescent="0.15">
      <c r="B719" s="23"/>
      <c r="C719" s="2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Z719" s="21"/>
      <c r="AP719" s="5"/>
      <c r="AQ719" s="5"/>
      <c r="AR719" s="5"/>
      <c r="AS719" s="5"/>
      <c r="AT719" s="5"/>
      <c r="AU719" s="5"/>
    </row>
    <row r="720" spans="2:47" x14ac:dyDescent="0.15">
      <c r="B720" s="23"/>
      <c r="C720" s="2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Z720" s="21"/>
      <c r="AP720" s="5"/>
      <c r="AQ720" s="5"/>
      <c r="AR720" s="5"/>
      <c r="AS720" s="5"/>
      <c r="AT720" s="5"/>
      <c r="AU720" s="5"/>
    </row>
    <row r="721" spans="2:47" x14ac:dyDescent="0.15">
      <c r="B721" s="23"/>
      <c r="C721" s="2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Z721" s="21"/>
      <c r="AP721" s="5"/>
      <c r="AQ721" s="5"/>
      <c r="AR721" s="5"/>
      <c r="AS721" s="5"/>
      <c r="AT721" s="5"/>
      <c r="AU721" s="5"/>
    </row>
    <row r="722" spans="2:47" x14ac:dyDescent="0.15">
      <c r="B722" s="23"/>
      <c r="C722" s="2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Z722" s="21"/>
      <c r="AP722" s="5"/>
      <c r="AQ722" s="5"/>
      <c r="AR722" s="5"/>
      <c r="AS722" s="5"/>
      <c r="AT722" s="5"/>
      <c r="AU722" s="5"/>
    </row>
    <row r="723" spans="2:47" x14ac:dyDescent="0.15">
      <c r="B723" s="23"/>
      <c r="C723" s="2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Z723" s="21"/>
      <c r="AP723" s="5"/>
      <c r="AQ723" s="5"/>
      <c r="AR723" s="5"/>
      <c r="AS723" s="5"/>
      <c r="AT723" s="5"/>
      <c r="AU723" s="5"/>
    </row>
    <row r="724" spans="2:47" x14ac:dyDescent="0.15">
      <c r="B724" s="23"/>
      <c r="C724" s="2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Z724" s="21"/>
      <c r="AP724" s="5"/>
      <c r="AQ724" s="5"/>
      <c r="AR724" s="5"/>
      <c r="AS724" s="5"/>
      <c r="AT724" s="5"/>
      <c r="AU724" s="5"/>
    </row>
    <row r="725" spans="2:47" x14ac:dyDescent="0.15">
      <c r="B725" s="23"/>
      <c r="C725" s="2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Z725" s="21"/>
      <c r="AP725" s="5"/>
      <c r="AQ725" s="5"/>
      <c r="AR725" s="5"/>
      <c r="AS725" s="5"/>
      <c r="AT725" s="5"/>
      <c r="AU725" s="5"/>
    </row>
    <row r="726" spans="2:47" x14ac:dyDescent="0.15">
      <c r="B726" s="23"/>
      <c r="C726" s="2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Z726" s="21"/>
      <c r="AP726" s="5"/>
      <c r="AQ726" s="5"/>
      <c r="AR726" s="5"/>
      <c r="AS726" s="5"/>
      <c r="AT726" s="5"/>
      <c r="AU726" s="5"/>
    </row>
    <row r="727" spans="2:47" x14ac:dyDescent="0.15">
      <c r="B727" s="23"/>
      <c r="C727" s="2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Z727" s="21"/>
      <c r="AP727" s="5"/>
      <c r="AQ727" s="5"/>
      <c r="AR727" s="5"/>
      <c r="AS727" s="5"/>
      <c r="AT727" s="5"/>
      <c r="AU727" s="5"/>
    </row>
    <row r="728" spans="2:47" x14ac:dyDescent="0.15">
      <c r="B728" s="23"/>
      <c r="C728" s="2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Z728" s="21"/>
      <c r="AP728" s="5"/>
      <c r="AQ728" s="5"/>
      <c r="AR728" s="5"/>
      <c r="AS728" s="5"/>
      <c r="AT728" s="5"/>
      <c r="AU728" s="5"/>
    </row>
    <row r="729" spans="2:47" x14ac:dyDescent="0.15">
      <c r="B729" s="23"/>
      <c r="C729" s="2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Z729" s="21"/>
      <c r="AP729" s="5"/>
      <c r="AQ729" s="5"/>
      <c r="AR729" s="5"/>
      <c r="AS729" s="5"/>
      <c r="AT729" s="5"/>
      <c r="AU729" s="5"/>
    </row>
    <row r="730" spans="2:47" x14ac:dyDescent="0.15">
      <c r="B730" s="23"/>
      <c r="C730" s="2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Z730" s="21"/>
      <c r="AP730" s="5"/>
      <c r="AQ730" s="5"/>
      <c r="AR730" s="5"/>
      <c r="AS730" s="5"/>
      <c r="AT730" s="5"/>
      <c r="AU730" s="5"/>
    </row>
    <row r="731" spans="2:47" x14ac:dyDescent="0.15">
      <c r="B731" s="23"/>
      <c r="C731" s="2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Z731" s="21"/>
      <c r="AP731" s="5"/>
      <c r="AQ731" s="5"/>
      <c r="AR731" s="5"/>
      <c r="AS731" s="5"/>
      <c r="AT731" s="5"/>
      <c r="AU731" s="5"/>
    </row>
    <row r="732" spans="2:47" x14ac:dyDescent="0.15">
      <c r="B732" s="23"/>
      <c r="C732" s="2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Z732" s="21"/>
      <c r="AP732" s="5"/>
      <c r="AQ732" s="5"/>
      <c r="AR732" s="5"/>
      <c r="AS732" s="5"/>
      <c r="AT732" s="5"/>
      <c r="AU732" s="5"/>
    </row>
    <row r="733" spans="2:47" x14ac:dyDescent="0.15">
      <c r="B733" s="23"/>
      <c r="C733" s="2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Z733" s="21"/>
      <c r="AP733" s="5"/>
      <c r="AQ733" s="5"/>
      <c r="AR733" s="5"/>
      <c r="AS733" s="5"/>
      <c r="AT733" s="5"/>
      <c r="AU733" s="5"/>
    </row>
    <row r="734" spans="2:47" x14ac:dyDescent="0.15">
      <c r="B734" s="23"/>
      <c r="C734" s="2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Z734" s="21"/>
      <c r="AP734" s="5"/>
      <c r="AQ734" s="5"/>
      <c r="AR734" s="5"/>
      <c r="AS734" s="5"/>
      <c r="AT734" s="5"/>
      <c r="AU734" s="5"/>
    </row>
    <row r="735" spans="2:47" x14ac:dyDescent="0.15">
      <c r="B735" s="23"/>
      <c r="C735" s="2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Z735" s="21"/>
      <c r="AP735" s="5"/>
      <c r="AQ735" s="5"/>
      <c r="AR735" s="5"/>
      <c r="AS735" s="5"/>
      <c r="AT735" s="5"/>
      <c r="AU735" s="5"/>
    </row>
    <row r="736" spans="2:47" x14ac:dyDescent="0.15">
      <c r="B736" s="23"/>
      <c r="C736" s="2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Z736" s="21"/>
      <c r="AP736" s="5"/>
      <c r="AQ736" s="5"/>
      <c r="AR736" s="5"/>
      <c r="AS736" s="5"/>
      <c r="AT736" s="5"/>
      <c r="AU736" s="5"/>
    </row>
    <row r="737" spans="2:47" x14ac:dyDescent="0.15">
      <c r="B737" s="23"/>
      <c r="C737" s="2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Z737" s="21"/>
      <c r="AP737" s="5"/>
      <c r="AQ737" s="5"/>
      <c r="AR737" s="5"/>
      <c r="AS737" s="5"/>
      <c r="AT737" s="5"/>
      <c r="AU737" s="5"/>
    </row>
    <row r="738" spans="2:47" x14ac:dyDescent="0.15">
      <c r="B738" s="23"/>
      <c r="C738" s="2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Z738" s="21"/>
      <c r="AP738" s="5"/>
      <c r="AQ738" s="5"/>
      <c r="AR738" s="5"/>
      <c r="AS738" s="5"/>
      <c r="AT738" s="5"/>
      <c r="AU738" s="5"/>
    </row>
    <row r="739" spans="2:47" x14ac:dyDescent="0.15">
      <c r="B739" s="23"/>
      <c r="C739" s="2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Z739" s="21"/>
      <c r="AP739" s="5"/>
      <c r="AQ739" s="5"/>
      <c r="AR739" s="5"/>
      <c r="AS739" s="5"/>
      <c r="AT739" s="5"/>
      <c r="AU739" s="5"/>
    </row>
    <row r="740" spans="2:47" x14ac:dyDescent="0.15">
      <c r="B740" s="23"/>
      <c r="C740" s="2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Z740" s="21"/>
      <c r="AP740" s="5"/>
      <c r="AQ740" s="5"/>
      <c r="AR740" s="5"/>
      <c r="AS740" s="5"/>
      <c r="AT740" s="5"/>
      <c r="AU740" s="5"/>
    </row>
    <row r="741" spans="2:47" x14ac:dyDescent="0.15">
      <c r="B741" s="23"/>
      <c r="C741" s="2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Z741" s="21"/>
      <c r="AP741" s="5"/>
      <c r="AQ741" s="5"/>
      <c r="AR741" s="5"/>
      <c r="AS741" s="5"/>
      <c r="AT741" s="5"/>
      <c r="AU741" s="5"/>
    </row>
    <row r="742" spans="2:47" x14ac:dyDescent="0.15">
      <c r="B742" s="23"/>
      <c r="C742" s="2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Z742" s="21"/>
      <c r="AP742" s="5"/>
      <c r="AQ742" s="5"/>
      <c r="AR742" s="5"/>
      <c r="AS742" s="5"/>
      <c r="AT742" s="5"/>
      <c r="AU742" s="5"/>
    </row>
    <row r="743" spans="2:47" x14ac:dyDescent="0.15">
      <c r="B743" s="23"/>
      <c r="C743" s="2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Z743" s="21"/>
      <c r="AP743" s="5"/>
      <c r="AQ743" s="5"/>
      <c r="AR743" s="5"/>
      <c r="AS743" s="5"/>
      <c r="AT743" s="5"/>
      <c r="AU743" s="5"/>
    </row>
    <row r="744" spans="2:47" x14ac:dyDescent="0.15">
      <c r="B744" s="23"/>
      <c r="C744" s="2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Z744" s="21"/>
      <c r="AP744" s="5"/>
      <c r="AQ744" s="5"/>
      <c r="AR744" s="5"/>
      <c r="AS744" s="5"/>
      <c r="AT744" s="5"/>
      <c r="AU744" s="5"/>
    </row>
    <row r="745" spans="2:47" x14ac:dyDescent="0.15">
      <c r="B745" s="23"/>
      <c r="C745" s="2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Z745" s="21"/>
      <c r="AP745" s="5"/>
      <c r="AQ745" s="5"/>
      <c r="AR745" s="5"/>
      <c r="AS745" s="5"/>
      <c r="AT745" s="5"/>
      <c r="AU745" s="5"/>
    </row>
    <row r="746" spans="2:47" x14ac:dyDescent="0.15">
      <c r="B746" s="23"/>
      <c r="C746" s="2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Z746" s="21"/>
      <c r="AP746" s="5"/>
      <c r="AQ746" s="5"/>
      <c r="AR746" s="5"/>
      <c r="AS746" s="5"/>
      <c r="AT746" s="5"/>
      <c r="AU746" s="5"/>
    </row>
    <row r="747" spans="2:47" x14ac:dyDescent="0.15">
      <c r="B747" s="23"/>
      <c r="C747" s="2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Z747" s="21"/>
      <c r="AP747" s="5"/>
      <c r="AQ747" s="5"/>
      <c r="AR747" s="5"/>
      <c r="AS747" s="5"/>
      <c r="AT747" s="5"/>
      <c r="AU747" s="5"/>
    </row>
    <row r="748" spans="2:47" x14ac:dyDescent="0.15">
      <c r="B748" s="23"/>
      <c r="C748" s="2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Z748" s="21"/>
      <c r="AP748" s="5"/>
      <c r="AQ748" s="5"/>
      <c r="AR748" s="5"/>
      <c r="AS748" s="5"/>
      <c r="AT748" s="5"/>
      <c r="AU748" s="5"/>
    </row>
    <row r="749" spans="2:47" x14ac:dyDescent="0.15">
      <c r="B749" s="23"/>
      <c r="C749" s="2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Z749" s="21"/>
      <c r="AP749" s="5"/>
      <c r="AQ749" s="5"/>
      <c r="AR749" s="5"/>
      <c r="AS749" s="5"/>
      <c r="AT749" s="5"/>
      <c r="AU749" s="5"/>
    </row>
    <row r="750" spans="2:47" x14ac:dyDescent="0.15">
      <c r="B750" s="23"/>
      <c r="C750" s="2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Z750" s="21"/>
      <c r="AP750" s="5"/>
      <c r="AQ750" s="5"/>
      <c r="AR750" s="5"/>
      <c r="AS750" s="5"/>
      <c r="AT750" s="5"/>
      <c r="AU750" s="5"/>
    </row>
    <row r="751" spans="2:47" x14ac:dyDescent="0.15">
      <c r="B751" s="23"/>
      <c r="C751" s="2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Z751" s="21"/>
      <c r="AP751" s="5"/>
      <c r="AQ751" s="5"/>
      <c r="AR751" s="5"/>
      <c r="AS751" s="5"/>
      <c r="AT751" s="5"/>
      <c r="AU751" s="5"/>
    </row>
    <row r="752" spans="2:47" x14ac:dyDescent="0.15">
      <c r="B752" s="23"/>
      <c r="C752" s="2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Z752" s="21"/>
      <c r="AP752" s="5"/>
      <c r="AQ752" s="5"/>
      <c r="AR752" s="5"/>
      <c r="AS752" s="5"/>
      <c r="AT752" s="5"/>
      <c r="AU752" s="5"/>
    </row>
    <row r="753" spans="2:47" x14ac:dyDescent="0.15">
      <c r="B753" s="23"/>
      <c r="C753" s="2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Z753" s="21"/>
      <c r="AP753" s="5"/>
      <c r="AQ753" s="5"/>
      <c r="AR753" s="5"/>
      <c r="AS753" s="5"/>
      <c r="AT753" s="5"/>
      <c r="AU753" s="5"/>
    </row>
    <row r="754" spans="2:47" x14ac:dyDescent="0.15">
      <c r="B754" s="23"/>
      <c r="C754" s="2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Z754" s="21"/>
      <c r="AP754" s="5"/>
      <c r="AQ754" s="5"/>
      <c r="AR754" s="5"/>
      <c r="AS754" s="5"/>
      <c r="AT754" s="5"/>
      <c r="AU754" s="5"/>
    </row>
    <row r="755" spans="2:47" x14ac:dyDescent="0.15">
      <c r="B755" s="23"/>
      <c r="C755" s="2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Z755" s="21"/>
      <c r="AP755" s="5"/>
      <c r="AQ755" s="5"/>
      <c r="AR755" s="5"/>
      <c r="AS755" s="5"/>
      <c r="AT755" s="5"/>
      <c r="AU755" s="5"/>
    </row>
    <row r="756" spans="2:47" x14ac:dyDescent="0.15">
      <c r="B756" s="23"/>
      <c r="C756" s="2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Z756" s="21"/>
      <c r="AP756" s="5"/>
      <c r="AQ756" s="5"/>
      <c r="AR756" s="5"/>
      <c r="AS756" s="5"/>
      <c r="AT756" s="5"/>
      <c r="AU756" s="5"/>
    </row>
    <row r="757" spans="2:47" x14ac:dyDescent="0.15">
      <c r="B757" s="23"/>
      <c r="C757" s="2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Z757" s="21"/>
      <c r="AP757" s="5"/>
      <c r="AQ757" s="5"/>
      <c r="AR757" s="5"/>
      <c r="AS757" s="5"/>
      <c r="AT757" s="5"/>
      <c r="AU757" s="5"/>
    </row>
    <row r="758" spans="2:47" x14ac:dyDescent="0.15">
      <c r="B758" s="23"/>
      <c r="C758" s="2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Z758" s="21"/>
      <c r="AP758" s="5"/>
      <c r="AQ758" s="5"/>
      <c r="AR758" s="5"/>
      <c r="AS758" s="5"/>
      <c r="AT758" s="5"/>
      <c r="AU758" s="5"/>
    </row>
    <row r="759" spans="2:47" x14ac:dyDescent="0.15">
      <c r="B759" s="23"/>
      <c r="C759" s="2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Z759" s="21"/>
      <c r="AP759" s="5"/>
      <c r="AQ759" s="5"/>
      <c r="AR759" s="5"/>
      <c r="AS759" s="5"/>
      <c r="AT759" s="5"/>
      <c r="AU759" s="5"/>
    </row>
    <row r="760" spans="2:47" x14ac:dyDescent="0.15">
      <c r="B760" s="23"/>
      <c r="C760" s="2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Z760" s="21"/>
      <c r="AP760" s="5"/>
      <c r="AQ760" s="5"/>
      <c r="AR760" s="5"/>
      <c r="AS760" s="5"/>
      <c r="AT760" s="5"/>
      <c r="AU760" s="5"/>
    </row>
    <row r="761" spans="2:47" x14ac:dyDescent="0.15">
      <c r="B761" s="23"/>
      <c r="C761" s="2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Z761" s="21"/>
      <c r="AP761" s="5"/>
      <c r="AQ761" s="5"/>
      <c r="AR761" s="5"/>
      <c r="AS761" s="5"/>
      <c r="AT761" s="5"/>
      <c r="AU761" s="5"/>
    </row>
    <row r="762" spans="2:47" x14ac:dyDescent="0.15">
      <c r="B762" s="23"/>
      <c r="C762" s="2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Z762" s="21"/>
      <c r="AP762" s="5"/>
      <c r="AQ762" s="5"/>
      <c r="AR762" s="5"/>
      <c r="AS762" s="5"/>
      <c r="AT762" s="5"/>
      <c r="AU762" s="5"/>
    </row>
    <row r="763" spans="2:47" x14ac:dyDescent="0.15">
      <c r="B763" s="23"/>
      <c r="C763" s="2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Z763" s="21"/>
      <c r="AP763" s="5"/>
      <c r="AQ763" s="5"/>
      <c r="AR763" s="5"/>
      <c r="AS763" s="5"/>
      <c r="AT763" s="5"/>
      <c r="AU763" s="5"/>
    </row>
    <row r="764" spans="2:47" x14ac:dyDescent="0.15">
      <c r="B764" s="23"/>
      <c r="C764" s="2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Z764" s="21"/>
      <c r="AP764" s="5"/>
      <c r="AQ764" s="5"/>
      <c r="AR764" s="5"/>
      <c r="AS764" s="5"/>
      <c r="AT764" s="5"/>
      <c r="AU764" s="5"/>
    </row>
    <row r="765" spans="2:47" x14ac:dyDescent="0.15">
      <c r="B765" s="23"/>
      <c r="C765" s="2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Z765" s="21"/>
      <c r="AP765" s="5"/>
      <c r="AQ765" s="5"/>
      <c r="AR765" s="5"/>
      <c r="AS765" s="5"/>
      <c r="AT765" s="5"/>
      <c r="AU765" s="5"/>
    </row>
    <row r="766" spans="2:47" x14ac:dyDescent="0.15">
      <c r="B766" s="23"/>
      <c r="C766" s="2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Z766" s="21"/>
      <c r="AP766" s="5"/>
      <c r="AQ766" s="5"/>
      <c r="AR766" s="5"/>
      <c r="AS766" s="5"/>
      <c r="AT766" s="5"/>
      <c r="AU766" s="5"/>
    </row>
    <row r="767" spans="2:47" x14ac:dyDescent="0.15">
      <c r="B767" s="23"/>
      <c r="C767" s="2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Z767" s="21"/>
      <c r="AP767" s="5"/>
      <c r="AQ767" s="5"/>
      <c r="AR767" s="5"/>
      <c r="AS767" s="5"/>
      <c r="AT767" s="5"/>
      <c r="AU767" s="5"/>
    </row>
    <row r="768" spans="2:47" x14ac:dyDescent="0.15">
      <c r="B768" s="23"/>
      <c r="C768" s="2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Z768" s="21"/>
      <c r="AP768" s="5"/>
      <c r="AQ768" s="5"/>
      <c r="AR768" s="5"/>
      <c r="AS768" s="5"/>
      <c r="AT768" s="5"/>
      <c r="AU768" s="5"/>
    </row>
    <row r="769" spans="2:47" x14ac:dyDescent="0.15">
      <c r="B769" s="23"/>
      <c r="C769" s="2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Z769" s="21"/>
      <c r="AP769" s="5"/>
      <c r="AQ769" s="5"/>
      <c r="AR769" s="5"/>
      <c r="AS769" s="5"/>
      <c r="AT769" s="5"/>
      <c r="AU769" s="5"/>
    </row>
    <row r="770" spans="2:47" x14ac:dyDescent="0.15">
      <c r="B770" s="23"/>
      <c r="C770" s="2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Z770" s="21"/>
      <c r="AP770" s="5"/>
      <c r="AQ770" s="5"/>
      <c r="AR770" s="5"/>
      <c r="AS770" s="5"/>
      <c r="AT770" s="5"/>
      <c r="AU770" s="5"/>
    </row>
    <row r="771" spans="2:47" x14ac:dyDescent="0.15">
      <c r="B771" s="23"/>
      <c r="C771" s="2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Z771" s="21"/>
      <c r="AP771" s="5"/>
      <c r="AQ771" s="5"/>
      <c r="AR771" s="5"/>
      <c r="AS771" s="5"/>
      <c r="AT771" s="5"/>
      <c r="AU771" s="5"/>
    </row>
    <row r="772" spans="2:47" x14ac:dyDescent="0.15">
      <c r="B772" s="23"/>
      <c r="C772" s="2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Z772" s="21"/>
      <c r="AP772" s="5"/>
      <c r="AQ772" s="5"/>
      <c r="AR772" s="5"/>
      <c r="AS772" s="5"/>
      <c r="AT772" s="5"/>
      <c r="AU772" s="5"/>
    </row>
    <row r="773" spans="2:47" x14ac:dyDescent="0.15">
      <c r="B773" s="23"/>
      <c r="C773" s="2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Z773" s="21"/>
      <c r="AP773" s="5"/>
      <c r="AQ773" s="5"/>
      <c r="AR773" s="5"/>
      <c r="AS773" s="5"/>
      <c r="AT773" s="5"/>
      <c r="AU773" s="5"/>
    </row>
    <row r="774" spans="2:47" x14ac:dyDescent="0.15">
      <c r="B774" s="23"/>
      <c r="C774" s="2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Z774" s="21"/>
      <c r="AP774" s="5"/>
      <c r="AQ774" s="5"/>
      <c r="AR774" s="5"/>
      <c r="AS774" s="5"/>
      <c r="AT774" s="5"/>
      <c r="AU774" s="5"/>
    </row>
    <row r="775" spans="2:47" x14ac:dyDescent="0.15">
      <c r="B775" s="23"/>
      <c r="C775" s="2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Z775" s="21"/>
      <c r="AP775" s="5"/>
      <c r="AQ775" s="5"/>
      <c r="AR775" s="5"/>
      <c r="AS775" s="5"/>
      <c r="AT775" s="5"/>
      <c r="AU775" s="5"/>
    </row>
    <row r="776" spans="2:47" x14ac:dyDescent="0.15">
      <c r="B776" s="23"/>
      <c r="C776" s="2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Z776" s="21"/>
      <c r="AP776" s="5"/>
      <c r="AQ776" s="5"/>
      <c r="AR776" s="5"/>
      <c r="AS776" s="5"/>
      <c r="AT776" s="5"/>
      <c r="AU776" s="5"/>
    </row>
    <row r="777" spans="2:47" x14ac:dyDescent="0.15">
      <c r="B777" s="23"/>
      <c r="C777" s="2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Z777" s="21"/>
      <c r="AP777" s="5"/>
      <c r="AQ777" s="5"/>
      <c r="AR777" s="5"/>
      <c r="AS777" s="5"/>
      <c r="AT777" s="5"/>
      <c r="AU777" s="5"/>
    </row>
    <row r="778" spans="2:47" x14ac:dyDescent="0.15">
      <c r="B778" s="23"/>
      <c r="C778" s="2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Z778" s="21"/>
      <c r="AP778" s="5"/>
      <c r="AQ778" s="5"/>
      <c r="AR778" s="5"/>
      <c r="AS778" s="5"/>
      <c r="AT778" s="5"/>
      <c r="AU778" s="5"/>
    </row>
    <row r="779" spans="2:47" x14ac:dyDescent="0.15">
      <c r="B779" s="23"/>
      <c r="C779" s="2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Z779" s="21"/>
      <c r="AP779" s="5"/>
      <c r="AQ779" s="5"/>
      <c r="AR779" s="5"/>
      <c r="AS779" s="5"/>
      <c r="AT779" s="5"/>
      <c r="AU779" s="5"/>
    </row>
    <row r="780" spans="2:47" x14ac:dyDescent="0.15">
      <c r="B780" s="23"/>
      <c r="C780" s="2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Z780" s="21"/>
      <c r="AP780" s="5"/>
      <c r="AQ780" s="5"/>
      <c r="AR780" s="5"/>
      <c r="AS780" s="5"/>
      <c r="AT780" s="5"/>
      <c r="AU780" s="5"/>
    </row>
    <row r="781" spans="2:47" x14ac:dyDescent="0.15">
      <c r="B781" s="23"/>
      <c r="C781" s="2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Z781" s="21"/>
      <c r="AP781" s="5"/>
      <c r="AQ781" s="5"/>
      <c r="AR781" s="5"/>
      <c r="AS781" s="5"/>
      <c r="AT781" s="5"/>
      <c r="AU781" s="5"/>
    </row>
    <row r="782" spans="2:47" x14ac:dyDescent="0.15">
      <c r="B782" s="23"/>
      <c r="C782" s="2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Z782" s="21"/>
      <c r="AP782" s="5"/>
      <c r="AQ782" s="5"/>
      <c r="AR782" s="5"/>
      <c r="AS782" s="5"/>
      <c r="AT782" s="5"/>
      <c r="AU782" s="5"/>
    </row>
    <row r="783" spans="2:47" x14ac:dyDescent="0.15">
      <c r="B783" s="23"/>
      <c r="C783" s="2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Z783" s="21"/>
      <c r="AP783" s="5"/>
      <c r="AQ783" s="5"/>
      <c r="AR783" s="5"/>
      <c r="AS783" s="5"/>
      <c r="AT783" s="5"/>
      <c r="AU783" s="5"/>
    </row>
    <row r="784" spans="2:47" x14ac:dyDescent="0.15">
      <c r="B784" s="23"/>
      <c r="C784" s="2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Z784" s="21"/>
      <c r="AP784" s="5"/>
      <c r="AQ784" s="5"/>
      <c r="AR784" s="5"/>
      <c r="AS784" s="5"/>
      <c r="AT784" s="5"/>
      <c r="AU784" s="5"/>
    </row>
    <row r="785" spans="2:47" x14ac:dyDescent="0.15">
      <c r="B785" s="23"/>
      <c r="C785" s="2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Z785" s="21"/>
      <c r="AP785" s="5"/>
      <c r="AQ785" s="5"/>
      <c r="AR785" s="5"/>
      <c r="AS785" s="5"/>
      <c r="AT785" s="5"/>
      <c r="AU785" s="5"/>
    </row>
    <row r="786" spans="2:47" x14ac:dyDescent="0.15">
      <c r="B786" s="23"/>
      <c r="C786" s="2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Z786" s="21"/>
      <c r="AP786" s="5"/>
      <c r="AQ786" s="5"/>
      <c r="AR786" s="5"/>
      <c r="AS786" s="5"/>
      <c r="AT786" s="5"/>
      <c r="AU786" s="5"/>
    </row>
    <row r="787" spans="2:47" x14ac:dyDescent="0.15">
      <c r="B787" s="23"/>
      <c r="C787" s="2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Z787" s="21"/>
      <c r="AP787" s="5"/>
      <c r="AQ787" s="5"/>
      <c r="AR787" s="5"/>
      <c r="AS787" s="5"/>
      <c r="AT787" s="5"/>
      <c r="AU787" s="5"/>
    </row>
    <row r="788" spans="2:47" x14ac:dyDescent="0.15">
      <c r="B788" s="23"/>
      <c r="C788" s="2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Z788" s="21"/>
      <c r="AP788" s="5"/>
      <c r="AQ788" s="5"/>
      <c r="AR788" s="5"/>
      <c r="AS788" s="5"/>
      <c r="AT788" s="5"/>
      <c r="AU788" s="5"/>
    </row>
    <row r="789" spans="2:47" x14ac:dyDescent="0.15">
      <c r="B789" s="23"/>
      <c r="C789" s="2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Z789" s="21"/>
      <c r="AP789" s="5"/>
      <c r="AQ789" s="5"/>
      <c r="AR789" s="5"/>
      <c r="AS789" s="5"/>
      <c r="AT789" s="5"/>
      <c r="AU789" s="5"/>
    </row>
    <row r="790" spans="2:47" x14ac:dyDescent="0.15">
      <c r="B790" s="23"/>
      <c r="C790" s="2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Z790" s="21"/>
      <c r="AP790" s="5"/>
      <c r="AQ790" s="5"/>
      <c r="AR790" s="5"/>
      <c r="AS790" s="5"/>
      <c r="AT790" s="5"/>
      <c r="AU790" s="5"/>
    </row>
    <row r="791" spans="2:47" x14ac:dyDescent="0.15">
      <c r="B791" s="23"/>
      <c r="C791" s="2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Z791" s="21"/>
      <c r="AP791" s="5"/>
      <c r="AQ791" s="5"/>
      <c r="AR791" s="5"/>
      <c r="AS791" s="5"/>
      <c r="AT791" s="5"/>
      <c r="AU791" s="5"/>
    </row>
    <row r="792" spans="2:47" x14ac:dyDescent="0.15">
      <c r="B792" s="23"/>
      <c r="C792" s="2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Z792" s="21"/>
      <c r="AP792" s="5"/>
      <c r="AQ792" s="5"/>
      <c r="AR792" s="5"/>
      <c r="AS792" s="5"/>
      <c r="AT792" s="5"/>
      <c r="AU792" s="5"/>
    </row>
    <row r="793" spans="2:47" x14ac:dyDescent="0.15">
      <c r="B793" s="23"/>
      <c r="C793" s="2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Z793" s="21"/>
      <c r="AP793" s="5"/>
      <c r="AQ793" s="5"/>
      <c r="AR793" s="5"/>
      <c r="AS793" s="5"/>
      <c r="AT793" s="5"/>
      <c r="AU793" s="5"/>
    </row>
    <row r="794" spans="2:47" x14ac:dyDescent="0.15">
      <c r="B794" s="23"/>
      <c r="C794" s="2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Z794" s="21"/>
      <c r="AP794" s="5"/>
      <c r="AQ794" s="5"/>
      <c r="AR794" s="5"/>
      <c r="AS794" s="5"/>
      <c r="AT794" s="5"/>
      <c r="AU794" s="5"/>
    </row>
    <row r="795" spans="2:47" x14ac:dyDescent="0.15">
      <c r="B795" s="23"/>
      <c r="C795" s="2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Z795" s="21"/>
      <c r="AP795" s="5"/>
      <c r="AQ795" s="5"/>
      <c r="AR795" s="5"/>
      <c r="AS795" s="5"/>
      <c r="AT795" s="5"/>
      <c r="AU795" s="5"/>
    </row>
    <row r="796" spans="2:47" x14ac:dyDescent="0.15">
      <c r="B796" s="23"/>
      <c r="C796" s="2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Z796" s="21"/>
      <c r="AP796" s="5"/>
      <c r="AQ796" s="5"/>
      <c r="AR796" s="5"/>
      <c r="AS796" s="5"/>
      <c r="AT796" s="5"/>
      <c r="AU796" s="5"/>
    </row>
    <row r="797" spans="2:47" x14ac:dyDescent="0.15">
      <c r="B797" s="23"/>
      <c r="C797" s="2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Z797" s="21"/>
      <c r="AP797" s="5"/>
      <c r="AQ797" s="5"/>
      <c r="AR797" s="5"/>
      <c r="AS797" s="5"/>
      <c r="AT797" s="5"/>
      <c r="AU797" s="5"/>
    </row>
    <row r="798" spans="2:47" x14ac:dyDescent="0.15">
      <c r="B798" s="23"/>
      <c r="C798" s="2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Z798" s="21"/>
      <c r="AP798" s="5"/>
      <c r="AQ798" s="5"/>
      <c r="AR798" s="5"/>
      <c r="AS798" s="5"/>
      <c r="AT798" s="5"/>
      <c r="AU798" s="5"/>
    </row>
    <row r="799" spans="2:47" x14ac:dyDescent="0.15">
      <c r="B799" s="23"/>
      <c r="C799" s="2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Z799" s="21"/>
      <c r="AP799" s="5"/>
      <c r="AQ799" s="5"/>
      <c r="AR799" s="5"/>
      <c r="AS799" s="5"/>
      <c r="AT799" s="5"/>
      <c r="AU799" s="5"/>
    </row>
    <row r="800" spans="2:47" x14ac:dyDescent="0.15">
      <c r="B800" s="23"/>
      <c r="C800" s="2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Z800" s="21"/>
      <c r="AP800" s="5"/>
      <c r="AQ800" s="5"/>
      <c r="AR800" s="5"/>
      <c r="AS800" s="5"/>
      <c r="AT800" s="5"/>
      <c r="AU800" s="5"/>
    </row>
    <row r="801" spans="2:47" x14ac:dyDescent="0.15">
      <c r="B801" s="23"/>
      <c r="C801" s="2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Z801" s="21"/>
      <c r="AP801" s="5"/>
      <c r="AQ801" s="5"/>
      <c r="AR801" s="5"/>
      <c r="AS801" s="5"/>
      <c r="AT801" s="5"/>
      <c r="AU801" s="5"/>
    </row>
    <row r="802" spans="2:47" x14ac:dyDescent="0.15">
      <c r="B802" s="23"/>
      <c r="C802" s="2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Z802" s="21"/>
      <c r="AP802" s="5"/>
      <c r="AQ802" s="5"/>
      <c r="AR802" s="5"/>
      <c r="AS802" s="5"/>
      <c r="AT802" s="5"/>
      <c r="AU802" s="5"/>
    </row>
    <row r="803" spans="2:47" x14ac:dyDescent="0.15">
      <c r="B803" s="23"/>
      <c r="C803" s="2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Z803" s="21"/>
      <c r="AP803" s="5"/>
      <c r="AQ803" s="5"/>
      <c r="AR803" s="5"/>
      <c r="AS803" s="5"/>
      <c r="AT803" s="5"/>
      <c r="AU803" s="5"/>
    </row>
    <row r="804" spans="2:47" x14ac:dyDescent="0.15">
      <c r="B804" s="23"/>
      <c r="C804" s="2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Z804" s="21"/>
      <c r="AP804" s="5"/>
      <c r="AQ804" s="5"/>
      <c r="AR804" s="5"/>
      <c r="AS804" s="5"/>
      <c r="AT804" s="5"/>
      <c r="AU804" s="5"/>
    </row>
    <row r="805" spans="2:47" x14ac:dyDescent="0.15">
      <c r="B805" s="23"/>
      <c r="C805" s="2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Z805" s="21"/>
      <c r="AP805" s="5"/>
      <c r="AQ805" s="5"/>
      <c r="AR805" s="5"/>
      <c r="AS805" s="5"/>
      <c r="AT805" s="5"/>
      <c r="AU805" s="5"/>
    </row>
    <row r="806" spans="2:47" x14ac:dyDescent="0.15">
      <c r="B806" s="23"/>
      <c r="C806" s="2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Z806" s="21"/>
      <c r="AP806" s="5"/>
      <c r="AQ806" s="5"/>
      <c r="AR806" s="5"/>
      <c r="AS806" s="5"/>
      <c r="AT806" s="5"/>
      <c r="AU806" s="5"/>
    </row>
    <row r="807" spans="2:47" x14ac:dyDescent="0.15">
      <c r="B807" s="23"/>
      <c r="C807" s="2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Z807" s="21"/>
      <c r="AP807" s="5"/>
      <c r="AQ807" s="5"/>
      <c r="AR807" s="5"/>
      <c r="AS807" s="5"/>
      <c r="AT807" s="5"/>
      <c r="AU807" s="5"/>
    </row>
    <row r="808" spans="2:47" x14ac:dyDescent="0.15">
      <c r="B808" s="23"/>
      <c r="C808" s="2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Z808" s="21"/>
      <c r="AP808" s="5"/>
      <c r="AQ808" s="5"/>
      <c r="AR808" s="5"/>
      <c r="AS808" s="5"/>
      <c r="AT808" s="5"/>
      <c r="AU808" s="5"/>
    </row>
    <row r="809" spans="2:47" x14ac:dyDescent="0.15">
      <c r="B809" s="23"/>
      <c r="C809" s="2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Z809" s="21"/>
      <c r="AP809" s="5"/>
      <c r="AQ809" s="5"/>
      <c r="AR809" s="5"/>
      <c r="AS809" s="5"/>
      <c r="AT809" s="5"/>
      <c r="AU809" s="5"/>
    </row>
    <row r="810" spans="2:47" x14ac:dyDescent="0.15">
      <c r="B810" s="23"/>
      <c r="C810" s="2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Z810" s="21"/>
      <c r="AP810" s="5"/>
      <c r="AQ810" s="5"/>
      <c r="AR810" s="5"/>
      <c r="AS810" s="5"/>
      <c r="AT810" s="5"/>
      <c r="AU810" s="5"/>
    </row>
    <row r="811" spans="2:47" x14ac:dyDescent="0.15">
      <c r="B811" s="23"/>
      <c r="C811" s="2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Z811" s="21"/>
      <c r="AP811" s="5"/>
      <c r="AQ811" s="5"/>
      <c r="AR811" s="5"/>
      <c r="AS811" s="5"/>
      <c r="AT811" s="5"/>
      <c r="AU811" s="5"/>
    </row>
    <row r="812" spans="2:47" x14ac:dyDescent="0.15">
      <c r="B812" s="23"/>
      <c r="C812" s="2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Z812" s="21"/>
      <c r="AP812" s="5"/>
      <c r="AQ812" s="5"/>
      <c r="AR812" s="5"/>
      <c r="AS812" s="5"/>
      <c r="AT812" s="5"/>
      <c r="AU812" s="5"/>
    </row>
    <row r="813" spans="2:47" x14ac:dyDescent="0.15">
      <c r="B813" s="23"/>
      <c r="C813" s="2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Z813" s="21"/>
      <c r="AP813" s="5"/>
      <c r="AQ813" s="5"/>
      <c r="AR813" s="5"/>
      <c r="AS813" s="5"/>
      <c r="AT813" s="5"/>
      <c r="AU813" s="5"/>
    </row>
    <row r="814" spans="2:47" x14ac:dyDescent="0.15">
      <c r="B814" s="23"/>
      <c r="C814" s="2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Z814" s="21"/>
      <c r="AP814" s="5"/>
      <c r="AQ814" s="5"/>
      <c r="AR814" s="5"/>
      <c r="AS814" s="5"/>
      <c r="AT814" s="5"/>
      <c r="AU814" s="5"/>
    </row>
    <row r="815" spans="2:47" x14ac:dyDescent="0.15">
      <c r="B815" s="23"/>
      <c r="C815" s="2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Z815" s="21"/>
      <c r="AP815" s="5"/>
      <c r="AQ815" s="5"/>
      <c r="AR815" s="5"/>
      <c r="AS815" s="5"/>
      <c r="AT815" s="5"/>
      <c r="AU815" s="5"/>
    </row>
    <row r="816" spans="2:47" x14ac:dyDescent="0.15">
      <c r="B816" s="23"/>
      <c r="C816" s="2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Z816" s="21"/>
      <c r="AP816" s="5"/>
      <c r="AQ816" s="5"/>
      <c r="AR816" s="5"/>
      <c r="AS816" s="5"/>
      <c r="AT816" s="5"/>
      <c r="AU816" s="5"/>
    </row>
    <row r="817" spans="2:47" x14ac:dyDescent="0.15">
      <c r="B817" s="23"/>
      <c r="C817" s="2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Z817" s="21"/>
      <c r="AP817" s="5"/>
      <c r="AQ817" s="5"/>
      <c r="AR817" s="5"/>
      <c r="AS817" s="5"/>
      <c r="AT817" s="5"/>
      <c r="AU817" s="5"/>
    </row>
    <row r="818" spans="2:47" x14ac:dyDescent="0.15">
      <c r="B818" s="23"/>
      <c r="C818" s="2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Z818" s="21"/>
      <c r="AP818" s="5"/>
      <c r="AQ818" s="5"/>
      <c r="AR818" s="5"/>
      <c r="AS818" s="5"/>
      <c r="AT818" s="5"/>
      <c r="AU818" s="5"/>
    </row>
    <row r="819" spans="2:47" x14ac:dyDescent="0.15">
      <c r="B819" s="23"/>
      <c r="C819" s="2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Z819" s="21"/>
      <c r="AP819" s="5"/>
      <c r="AQ819" s="5"/>
      <c r="AR819" s="5"/>
      <c r="AS819" s="5"/>
      <c r="AT819" s="5"/>
      <c r="AU819" s="5"/>
    </row>
    <row r="820" spans="2:47" x14ac:dyDescent="0.15">
      <c r="B820" s="23"/>
      <c r="C820" s="2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Z820" s="21"/>
      <c r="AP820" s="5"/>
      <c r="AQ820" s="5"/>
      <c r="AR820" s="5"/>
      <c r="AS820" s="5"/>
      <c r="AT820" s="5"/>
      <c r="AU820" s="5"/>
    </row>
    <row r="821" spans="2:47" x14ac:dyDescent="0.15">
      <c r="B821" s="23"/>
      <c r="C821" s="2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Z821" s="21"/>
      <c r="AP821" s="5"/>
      <c r="AQ821" s="5"/>
      <c r="AR821" s="5"/>
      <c r="AS821" s="5"/>
      <c r="AT821" s="5"/>
      <c r="AU821" s="5"/>
    </row>
    <row r="822" spans="2:47" x14ac:dyDescent="0.15">
      <c r="B822" s="23"/>
      <c r="C822" s="2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Z822" s="21"/>
      <c r="AP822" s="5"/>
      <c r="AQ822" s="5"/>
      <c r="AR822" s="5"/>
      <c r="AS822" s="5"/>
      <c r="AT822" s="5"/>
      <c r="AU822" s="5"/>
    </row>
    <row r="823" spans="2:47" x14ac:dyDescent="0.15">
      <c r="B823" s="23"/>
      <c r="C823" s="2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Z823" s="21"/>
      <c r="AP823" s="5"/>
      <c r="AQ823" s="5"/>
      <c r="AR823" s="5"/>
      <c r="AS823" s="5"/>
      <c r="AT823" s="5"/>
      <c r="AU823" s="5"/>
    </row>
    <row r="824" spans="2:47" x14ac:dyDescent="0.15">
      <c r="B824" s="23"/>
      <c r="C824" s="2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Z824" s="21"/>
      <c r="AP824" s="5"/>
      <c r="AQ824" s="5"/>
      <c r="AR824" s="5"/>
      <c r="AS824" s="5"/>
      <c r="AT824" s="5"/>
      <c r="AU824" s="5"/>
    </row>
    <row r="825" spans="2:47" x14ac:dyDescent="0.15">
      <c r="B825" s="23"/>
      <c r="C825" s="2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Z825" s="21"/>
      <c r="AP825" s="5"/>
      <c r="AQ825" s="5"/>
      <c r="AR825" s="5"/>
      <c r="AS825" s="5"/>
      <c r="AT825" s="5"/>
      <c r="AU825" s="5"/>
    </row>
    <row r="826" spans="2:47" x14ac:dyDescent="0.15">
      <c r="B826" s="23"/>
      <c r="C826" s="2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Z826" s="21"/>
      <c r="AP826" s="5"/>
      <c r="AQ826" s="5"/>
      <c r="AR826" s="5"/>
      <c r="AS826" s="5"/>
      <c r="AT826" s="5"/>
      <c r="AU826" s="5"/>
    </row>
    <row r="827" spans="2:47" x14ac:dyDescent="0.15">
      <c r="B827" s="23"/>
      <c r="C827" s="2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Z827" s="21"/>
      <c r="AP827" s="5"/>
      <c r="AQ827" s="5"/>
      <c r="AR827" s="5"/>
      <c r="AS827" s="5"/>
      <c r="AT827" s="5"/>
      <c r="AU827" s="5"/>
    </row>
    <row r="828" spans="2:47" x14ac:dyDescent="0.15">
      <c r="B828" s="23"/>
      <c r="C828" s="2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Z828" s="21"/>
      <c r="AP828" s="5"/>
      <c r="AQ828" s="5"/>
      <c r="AR828" s="5"/>
      <c r="AS828" s="5"/>
      <c r="AT828" s="5"/>
      <c r="AU828" s="5"/>
    </row>
    <row r="829" spans="2:47" x14ac:dyDescent="0.15">
      <c r="B829" s="23"/>
      <c r="C829" s="2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Z829" s="21"/>
      <c r="AP829" s="5"/>
      <c r="AQ829" s="5"/>
      <c r="AR829" s="5"/>
      <c r="AS829" s="5"/>
      <c r="AT829" s="5"/>
      <c r="AU829" s="5"/>
    </row>
    <row r="830" spans="2:47" x14ac:dyDescent="0.15">
      <c r="B830" s="23"/>
      <c r="C830" s="2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Z830" s="21"/>
      <c r="AP830" s="5"/>
      <c r="AQ830" s="5"/>
      <c r="AR830" s="5"/>
      <c r="AS830" s="5"/>
      <c r="AT830" s="5"/>
      <c r="AU830" s="5"/>
    </row>
    <row r="831" spans="2:47" x14ac:dyDescent="0.15">
      <c r="B831" s="23"/>
      <c r="C831" s="2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Z831" s="21"/>
      <c r="AP831" s="5"/>
      <c r="AQ831" s="5"/>
      <c r="AR831" s="5"/>
      <c r="AS831" s="5"/>
      <c r="AT831" s="5"/>
      <c r="AU831" s="5"/>
    </row>
    <row r="832" spans="2:47" x14ac:dyDescent="0.15">
      <c r="B832" s="23"/>
      <c r="C832" s="2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Z832" s="21"/>
      <c r="AP832" s="5"/>
      <c r="AQ832" s="5"/>
      <c r="AR832" s="5"/>
      <c r="AS832" s="5"/>
      <c r="AT832" s="5"/>
      <c r="AU832" s="5"/>
    </row>
    <row r="833" spans="2:47" x14ac:dyDescent="0.15">
      <c r="B833" s="23"/>
      <c r="C833" s="2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Z833" s="21"/>
      <c r="AP833" s="5"/>
      <c r="AQ833" s="5"/>
      <c r="AR833" s="5"/>
      <c r="AS833" s="5"/>
      <c r="AT833" s="5"/>
      <c r="AU833" s="5"/>
    </row>
    <row r="834" spans="2:47" x14ac:dyDescent="0.15">
      <c r="B834" s="23"/>
      <c r="C834" s="2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Z834" s="21"/>
      <c r="AP834" s="5"/>
      <c r="AQ834" s="5"/>
      <c r="AR834" s="5"/>
      <c r="AS834" s="5"/>
      <c r="AT834" s="5"/>
      <c r="AU834" s="5"/>
    </row>
    <row r="835" spans="2:47" x14ac:dyDescent="0.15">
      <c r="B835" s="23"/>
      <c r="C835" s="2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Z835" s="21"/>
      <c r="AP835" s="5"/>
      <c r="AQ835" s="5"/>
      <c r="AR835" s="5"/>
      <c r="AS835" s="5"/>
      <c r="AT835" s="5"/>
      <c r="AU835" s="5"/>
    </row>
    <row r="836" spans="2:47" x14ac:dyDescent="0.15">
      <c r="B836" s="23"/>
      <c r="C836" s="2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Z836" s="21"/>
      <c r="AP836" s="5"/>
      <c r="AQ836" s="5"/>
      <c r="AR836" s="5"/>
      <c r="AS836" s="5"/>
      <c r="AT836" s="5"/>
      <c r="AU836" s="5"/>
    </row>
    <row r="837" spans="2:47" x14ac:dyDescent="0.15">
      <c r="B837" s="23"/>
      <c r="C837" s="2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Z837" s="21"/>
      <c r="AP837" s="5"/>
      <c r="AQ837" s="5"/>
      <c r="AR837" s="5"/>
      <c r="AS837" s="5"/>
      <c r="AT837" s="5"/>
      <c r="AU837" s="5"/>
    </row>
    <row r="838" spans="2:47" x14ac:dyDescent="0.15">
      <c r="B838" s="23"/>
      <c r="C838" s="2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Z838" s="21"/>
      <c r="AP838" s="5"/>
      <c r="AQ838" s="5"/>
      <c r="AR838" s="5"/>
      <c r="AS838" s="5"/>
      <c r="AT838" s="5"/>
      <c r="AU838" s="5"/>
    </row>
    <row r="839" spans="2:47" x14ac:dyDescent="0.15">
      <c r="B839" s="23"/>
      <c r="C839" s="2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Z839" s="21"/>
      <c r="AP839" s="5"/>
      <c r="AQ839" s="5"/>
      <c r="AR839" s="5"/>
      <c r="AS839" s="5"/>
      <c r="AT839" s="5"/>
      <c r="AU839" s="5"/>
    </row>
    <row r="840" spans="2:47" x14ac:dyDescent="0.15">
      <c r="B840" s="23"/>
      <c r="C840" s="2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Z840" s="21"/>
      <c r="AP840" s="5"/>
      <c r="AQ840" s="5"/>
      <c r="AR840" s="5"/>
      <c r="AS840" s="5"/>
      <c r="AT840" s="5"/>
      <c r="AU840" s="5"/>
    </row>
    <row r="841" spans="2:47" x14ac:dyDescent="0.15">
      <c r="B841" s="23"/>
      <c r="C841" s="2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Z841" s="21"/>
      <c r="AP841" s="5"/>
      <c r="AQ841" s="5"/>
      <c r="AR841" s="5"/>
      <c r="AS841" s="5"/>
      <c r="AT841" s="5"/>
      <c r="AU841" s="5"/>
    </row>
    <row r="842" spans="2:47" x14ac:dyDescent="0.15">
      <c r="B842" s="23"/>
      <c r="C842" s="2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Z842" s="21"/>
      <c r="AP842" s="5"/>
      <c r="AQ842" s="5"/>
      <c r="AR842" s="5"/>
      <c r="AS842" s="5"/>
      <c r="AT842" s="5"/>
      <c r="AU842" s="5"/>
    </row>
    <row r="843" spans="2:47" x14ac:dyDescent="0.15">
      <c r="B843" s="23"/>
      <c r="C843" s="2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Z843" s="21"/>
      <c r="AP843" s="5"/>
      <c r="AQ843" s="5"/>
      <c r="AR843" s="5"/>
      <c r="AS843" s="5"/>
      <c r="AT843" s="5"/>
      <c r="AU843" s="5"/>
    </row>
    <row r="844" spans="2:47" x14ac:dyDescent="0.15">
      <c r="B844" s="23"/>
      <c r="C844" s="2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Z844" s="21"/>
      <c r="AP844" s="5"/>
      <c r="AQ844" s="5"/>
      <c r="AR844" s="5"/>
      <c r="AS844" s="5"/>
      <c r="AT844" s="5"/>
      <c r="AU844" s="5"/>
    </row>
    <row r="845" spans="2:47" x14ac:dyDescent="0.15">
      <c r="B845" s="23"/>
      <c r="C845" s="2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Z845" s="21"/>
      <c r="AP845" s="5"/>
      <c r="AQ845" s="5"/>
      <c r="AR845" s="5"/>
      <c r="AS845" s="5"/>
      <c r="AT845" s="5"/>
      <c r="AU845" s="5"/>
    </row>
    <row r="846" spans="2:47" x14ac:dyDescent="0.15">
      <c r="B846" s="23"/>
      <c r="C846" s="2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Z846" s="21"/>
      <c r="AP846" s="5"/>
      <c r="AQ846" s="5"/>
      <c r="AR846" s="5"/>
      <c r="AS846" s="5"/>
      <c r="AT846" s="5"/>
      <c r="AU846" s="5"/>
    </row>
    <row r="847" spans="2:47" x14ac:dyDescent="0.15">
      <c r="B847" s="23"/>
      <c r="C847" s="2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Z847" s="21"/>
      <c r="AP847" s="5"/>
      <c r="AQ847" s="5"/>
      <c r="AR847" s="5"/>
      <c r="AS847" s="5"/>
      <c r="AT847" s="5"/>
      <c r="AU847" s="5"/>
    </row>
    <row r="848" spans="2:47" x14ac:dyDescent="0.15">
      <c r="B848" s="23"/>
      <c r="C848" s="2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Z848" s="21"/>
      <c r="AP848" s="5"/>
      <c r="AQ848" s="5"/>
      <c r="AR848" s="5"/>
      <c r="AS848" s="5"/>
      <c r="AT848" s="5"/>
      <c r="AU848" s="5"/>
    </row>
    <row r="849" spans="2:47" x14ac:dyDescent="0.15">
      <c r="B849" s="23"/>
      <c r="C849" s="2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Z849" s="21"/>
      <c r="AP849" s="5"/>
      <c r="AQ849" s="5"/>
      <c r="AR849" s="5"/>
      <c r="AS849" s="5"/>
      <c r="AT849" s="5"/>
      <c r="AU849" s="5"/>
    </row>
    <row r="850" spans="2:47" x14ac:dyDescent="0.15">
      <c r="B850" s="23"/>
      <c r="C850" s="2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Z850" s="21"/>
      <c r="AP850" s="5"/>
      <c r="AQ850" s="5"/>
      <c r="AR850" s="5"/>
      <c r="AS850" s="5"/>
      <c r="AT850" s="5"/>
      <c r="AU850" s="5"/>
    </row>
    <row r="851" spans="2:47" x14ac:dyDescent="0.15">
      <c r="B851" s="23"/>
      <c r="C851" s="2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Z851" s="21"/>
      <c r="AP851" s="5"/>
      <c r="AQ851" s="5"/>
      <c r="AR851" s="5"/>
      <c r="AS851" s="5"/>
      <c r="AT851" s="5"/>
      <c r="AU851" s="5"/>
    </row>
    <row r="852" spans="2:47" x14ac:dyDescent="0.15">
      <c r="B852" s="23"/>
      <c r="C852" s="2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Z852" s="21"/>
      <c r="AP852" s="5"/>
      <c r="AQ852" s="5"/>
      <c r="AR852" s="5"/>
      <c r="AS852" s="5"/>
      <c r="AT852" s="5"/>
      <c r="AU852" s="5"/>
    </row>
    <row r="853" spans="2:47" x14ac:dyDescent="0.15">
      <c r="B853" s="23"/>
      <c r="C853" s="2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Z853" s="21"/>
      <c r="AP853" s="5"/>
      <c r="AQ853" s="5"/>
      <c r="AR853" s="5"/>
      <c r="AS853" s="5"/>
      <c r="AT853" s="5"/>
      <c r="AU853" s="5"/>
    </row>
    <row r="854" spans="2:47" x14ac:dyDescent="0.15">
      <c r="B854" s="23"/>
      <c r="C854" s="2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Z854" s="21"/>
      <c r="AP854" s="5"/>
      <c r="AQ854" s="5"/>
      <c r="AR854" s="5"/>
      <c r="AS854" s="5"/>
      <c r="AT854" s="5"/>
      <c r="AU854" s="5"/>
    </row>
    <row r="855" spans="2:47" x14ac:dyDescent="0.15">
      <c r="B855" s="23"/>
      <c r="C855" s="2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Z855" s="21"/>
      <c r="AP855" s="5"/>
      <c r="AQ855" s="5"/>
      <c r="AR855" s="5"/>
      <c r="AS855" s="5"/>
      <c r="AT855" s="5"/>
      <c r="AU855" s="5"/>
    </row>
    <row r="856" spans="2:47" x14ac:dyDescent="0.15">
      <c r="B856" s="23"/>
      <c r="C856" s="2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Z856" s="21"/>
      <c r="AP856" s="5"/>
      <c r="AQ856" s="5"/>
      <c r="AR856" s="5"/>
      <c r="AS856" s="5"/>
      <c r="AT856" s="5"/>
      <c r="AU856" s="5"/>
    </row>
    <row r="857" spans="2:47" x14ac:dyDescent="0.15">
      <c r="B857" s="23"/>
      <c r="C857" s="2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Z857" s="21"/>
      <c r="AP857" s="5"/>
      <c r="AQ857" s="5"/>
      <c r="AR857" s="5"/>
      <c r="AS857" s="5"/>
      <c r="AT857" s="5"/>
      <c r="AU857" s="5"/>
    </row>
    <row r="858" spans="2:47" x14ac:dyDescent="0.15">
      <c r="B858" s="23"/>
      <c r="C858" s="2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Z858" s="21"/>
      <c r="AP858" s="5"/>
      <c r="AQ858" s="5"/>
      <c r="AR858" s="5"/>
      <c r="AS858" s="5"/>
      <c r="AT858" s="5"/>
      <c r="AU858" s="5"/>
    </row>
    <row r="859" spans="2:47" x14ac:dyDescent="0.15">
      <c r="B859" s="23"/>
      <c r="C859" s="2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Z859" s="21"/>
      <c r="AP859" s="5"/>
      <c r="AQ859" s="5"/>
      <c r="AR859" s="5"/>
      <c r="AS859" s="5"/>
      <c r="AT859" s="5"/>
      <c r="AU859" s="5"/>
    </row>
    <row r="860" spans="2:47" x14ac:dyDescent="0.15">
      <c r="B860" s="23"/>
      <c r="C860" s="2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Z860" s="21"/>
      <c r="AP860" s="5"/>
      <c r="AQ860" s="5"/>
      <c r="AR860" s="5"/>
      <c r="AS860" s="5"/>
      <c r="AT860" s="5"/>
      <c r="AU860" s="5"/>
    </row>
    <row r="861" spans="2:47" x14ac:dyDescent="0.15">
      <c r="B861" s="23"/>
      <c r="C861" s="2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Z861" s="21"/>
      <c r="AP861" s="5"/>
      <c r="AQ861" s="5"/>
      <c r="AR861" s="5"/>
      <c r="AS861" s="5"/>
      <c r="AT861" s="5"/>
      <c r="AU861" s="5"/>
    </row>
    <row r="862" spans="2:47" x14ac:dyDescent="0.15">
      <c r="B862" s="23"/>
      <c r="C862" s="2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Z862" s="21"/>
      <c r="AP862" s="5"/>
      <c r="AQ862" s="5"/>
      <c r="AR862" s="5"/>
      <c r="AS862" s="5"/>
      <c r="AT862" s="5"/>
      <c r="AU862" s="5"/>
    </row>
    <row r="863" spans="2:47" x14ac:dyDescent="0.15">
      <c r="B863" s="23"/>
      <c r="C863" s="2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Z863" s="21"/>
      <c r="AP863" s="5"/>
      <c r="AQ863" s="5"/>
      <c r="AR863" s="5"/>
      <c r="AS863" s="5"/>
      <c r="AT863" s="5"/>
      <c r="AU863" s="5"/>
    </row>
    <row r="864" spans="2:47" x14ac:dyDescent="0.15">
      <c r="B864" s="23"/>
      <c r="C864" s="2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Z864" s="21"/>
      <c r="AP864" s="5"/>
      <c r="AQ864" s="5"/>
      <c r="AR864" s="5"/>
      <c r="AS864" s="5"/>
      <c r="AT864" s="5"/>
      <c r="AU864" s="5"/>
    </row>
    <row r="865" spans="2:47" x14ac:dyDescent="0.15">
      <c r="B865" s="23"/>
      <c r="C865" s="2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Z865" s="21"/>
      <c r="AP865" s="5"/>
      <c r="AQ865" s="5"/>
      <c r="AR865" s="5"/>
      <c r="AS865" s="5"/>
      <c r="AT865" s="5"/>
      <c r="AU865" s="5"/>
    </row>
    <row r="866" spans="2:47" x14ac:dyDescent="0.15">
      <c r="B866" s="23"/>
      <c r="C866" s="2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Z866" s="21"/>
      <c r="AP866" s="5"/>
      <c r="AQ866" s="5"/>
      <c r="AR866" s="5"/>
      <c r="AS866" s="5"/>
      <c r="AT866" s="5"/>
      <c r="AU866" s="5"/>
    </row>
    <row r="867" spans="2:47" x14ac:dyDescent="0.15">
      <c r="B867" s="23"/>
      <c r="C867" s="2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Z867" s="21"/>
      <c r="AP867" s="5"/>
      <c r="AQ867" s="5"/>
      <c r="AR867" s="5"/>
      <c r="AS867" s="5"/>
      <c r="AT867" s="5"/>
      <c r="AU867" s="5"/>
    </row>
    <row r="868" spans="2:47" x14ac:dyDescent="0.15">
      <c r="B868" s="23"/>
      <c r="C868" s="2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Z868" s="21"/>
      <c r="AP868" s="5"/>
      <c r="AQ868" s="5"/>
      <c r="AR868" s="5"/>
      <c r="AS868" s="5"/>
      <c r="AT868" s="5"/>
      <c r="AU868" s="5"/>
    </row>
    <row r="869" spans="2:47" x14ac:dyDescent="0.15">
      <c r="B869" s="23"/>
      <c r="C869" s="2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Z869" s="21"/>
      <c r="AP869" s="5"/>
      <c r="AQ869" s="5"/>
      <c r="AR869" s="5"/>
      <c r="AS869" s="5"/>
      <c r="AT869" s="5"/>
      <c r="AU869" s="5"/>
    </row>
    <row r="870" spans="2:47" x14ac:dyDescent="0.15">
      <c r="B870" s="23"/>
      <c r="C870" s="2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Z870" s="21"/>
      <c r="AP870" s="5"/>
      <c r="AQ870" s="5"/>
      <c r="AR870" s="5"/>
      <c r="AS870" s="5"/>
      <c r="AT870" s="5"/>
      <c r="AU870" s="5"/>
    </row>
    <row r="871" spans="2:47" x14ac:dyDescent="0.15">
      <c r="B871" s="23"/>
      <c r="C871" s="2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Z871" s="21"/>
      <c r="AP871" s="5"/>
      <c r="AQ871" s="5"/>
      <c r="AR871" s="5"/>
      <c r="AS871" s="5"/>
      <c r="AT871" s="5"/>
      <c r="AU871" s="5"/>
    </row>
    <row r="872" spans="2:47" x14ac:dyDescent="0.15">
      <c r="B872" s="23"/>
      <c r="C872" s="2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Z872" s="21"/>
      <c r="AP872" s="5"/>
      <c r="AQ872" s="5"/>
      <c r="AR872" s="5"/>
      <c r="AS872" s="5"/>
      <c r="AT872" s="5"/>
      <c r="AU872" s="5"/>
    </row>
    <row r="873" spans="2:47" x14ac:dyDescent="0.15">
      <c r="B873" s="23"/>
      <c r="C873" s="2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Z873" s="21"/>
      <c r="AP873" s="5"/>
      <c r="AQ873" s="5"/>
      <c r="AR873" s="5"/>
      <c r="AS873" s="5"/>
      <c r="AT873" s="5"/>
      <c r="AU873" s="5"/>
    </row>
    <row r="874" spans="2:47" x14ac:dyDescent="0.15">
      <c r="B874" s="23"/>
      <c r="C874" s="2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Z874" s="21"/>
      <c r="AP874" s="5"/>
      <c r="AQ874" s="5"/>
      <c r="AR874" s="5"/>
      <c r="AS874" s="5"/>
      <c r="AT874" s="5"/>
      <c r="AU874" s="5"/>
    </row>
    <row r="875" spans="2:47" x14ac:dyDescent="0.15">
      <c r="B875" s="23"/>
      <c r="C875" s="2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Z875" s="21"/>
      <c r="AP875" s="5"/>
      <c r="AQ875" s="5"/>
      <c r="AR875" s="5"/>
      <c r="AS875" s="5"/>
      <c r="AT875" s="5"/>
      <c r="AU875" s="5"/>
    </row>
    <row r="876" spans="2:47" x14ac:dyDescent="0.15">
      <c r="B876" s="23"/>
      <c r="C876" s="2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Z876" s="21"/>
      <c r="AP876" s="5"/>
      <c r="AQ876" s="5"/>
      <c r="AR876" s="5"/>
      <c r="AS876" s="5"/>
      <c r="AT876" s="5"/>
      <c r="AU876" s="5"/>
    </row>
    <row r="877" spans="2:47" x14ac:dyDescent="0.15">
      <c r="B877" s="23"/>
      <c r="C877" s="2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Z877" s="21"/>
      <c r="AP877" s="5"/>
      <c r="AQ877" s="5"/>
      <c r="AR877" s="5"/>
      <c r="AS877" s="5"/>
      <c r="AT877" s="5"/>
      <c r="AU877" s="5"/>
    </row>
    <row r="878" spans="2:47" x14ac:dyDescent="0.15">
      <c r="B878" s="23"/>
      <c r="C878" s="2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Z878" s="21"/>
      <c r="AP878" s="5"/>
      <c r="AQ878" s="5"/>
      <c r="AR878" s="5"/>
      <c r="AS878" s="5"/>
      <c r="AT878" s="5"/>
      <c r="AU878" s="5"/>
    </row>
    <row r="879" spans="2:47" x14ac:dyDescent="0.15">
      <c r="B879" s="23"/>
      <c r="C879" s="2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Z879" s="21"/>
      <c r="AP879" s="5"/>
      <c r="AQ879" s="5"/>
      <c r="AR879" s="5"/>
      <c r="AS879" s="5"/>
      <c r="AT879" s="5"/>
      <c r="AU879" s="5"/>
    </row>
    <row r="880" spans="2:47" x14ac:dyDescent="0.15">
      <c r="B880" s="23"/>
      <c r="C880" s="2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Z880" s="21"/>
      <c r="AP880" s="5"/>
      <c r="AQ880" s="5"/>
      <c r="AR880" s="5"/>
      <c r="AS880" s="5"/>
      <c r="AT880" s="5"/>
      <c r="AU880" s="5"/>
    </row>
    <row r="881" spans="2:47" x14ac:dyDescent="0.15">
      <c r="B881" s="23"/>
      <c r="C881" s="2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Z881" s="21"/>
      <c r="AP881" s="5"/>
      <c r="AQ881" s="5"/>
      <c r="AR881" s="5"/>
      <c r="AS881" s="5"/>
      <c r="AT881" s="5"/>
      <c r="AU881" s="5"/>
    </row>
    <row r="882" spans="2:47" x14ac:dyDescent="0.15">
      <c r="B882" s="23"/>
      <c r="C882" s="2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Z882" s="21"/>
      <c r="AP882" s="5"/>
      <c r="AQ882" s="5"/>
      <c r="AR882" s="5"/>
      <c r="AS882" s="5"/>
      <c r="AT882" s="5"/>
      <c r="AU882" s="5"/>
    </row>
    <row r="883" spans="2:47" x14ac:dyDescent="0.15">
      <c r="B883" s="23"/>
      <c r="C883" s="2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Z883" s="21"/>
      <c r="AP883" s="5"/>
      <c r="AQ883" s="5"/>
      <c r="AR883" s="5"/>
      <c r="AS883" s="5"/>
      <c r="AT883" s="5"/>
      <c r="AU883" s="5"/>
    </row>
    <row r="884" spans="2:47" x14ac:dyDescent="0.15">
      <c r="B884" s="23"/>
      <c r="C884" s="2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Z884" s="21"/>
      <c r="AP884" s="5"/>
      <c r="AQ884" s="5"/>
      <c r="AR884" s="5"/>
      <c r="AS884" s="5"/>
      <c r="AT884" s="5"/>
      <c r="AU884" s="5"/>
    </row>
    <row r="885" spans="2:47" x14ac:dyDescent="0.15">
      <c r="B885" s="23"/>
      <c r="C885" s="2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Z885" s="21"/>
      <c r="AP885" s="5"/>
      <c r="AQ885" s="5"/>
      <c r="AR885" s="5"/>
      <c r="AS885" s="5"/>
      <c r="AT885" s="5"/>
      <c r="AU885" s="5"/>
    </row>
    <row r="886" spans="2:47" x14ac:dyDescent="0.15">
      <c r="B886" s="23"/>
      <c r="C886" s="2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Z886" s="21"/>
      <c r="AP886" s="5"/>
      <c r="AQ886" s="5"/>
      <c r="AR886" s="5"/>
      <c r="AS886" s="5"/>
      <c r="AT886" s="5"/>
      <c r="AU886" s="5"/>
    </row>
    <row r="887" spans="2:47" x14ac:dyDescent="0.15">
      <c r="B887" s="23"/>
      <c r="C887" s="2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Z887" s="21"/>
      <c r="AP887" s="5"/>
      <c r="AQ887" s="5"/>
      <c r="AR887" s="5"/>
      <c r="AS887" s="5"/>
      <c r="AT887" s="5"/>
      <c r="AU887" s="5"/>
    </row>
    <row r="888" spans="2:47" x14ac:dyDescent="0.15">
      <c r="B888" s="23"/>
      <c r="C888" s="2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Z888" s="21"/>
      <c r="AP888" s="5"/>
      <c r="AQ888" s="5"/>
      <c r="AR888" s="5"/>
      <c r="AS888" s="5"/>
      <c r="AT888" s="5"/>
      <c r="AU888" s="5"/>
    </row>
    <row r="889" spans="2:47" x14ac:dyDescent="0.15">
      <c r="B889" s="23"/>
      <c r="C889" s="2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Z889" s="21"/>
      <c r="AP889" s="5"/>
      <c r="AQ889" s="5"/>
      <c r="AR889" s="5"/>
      <c r="AS889" s="5"/>
      <c r="AT889" s="5"/>
      <c r="AU889" s="5"/>
    </row>
    <row r="890" spans="2:47" x14ac:dyDescent="0.15">
      <c r="B890" s="23"/>
      <c r="C890" s="2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Z890" s="21"/>
      <c r="AP890" s="5"/>
      <c r="AQ890" s="5"/>
      <c r="AR890" s="5"/>
      <c r="AS890" s="5"/>
      <c r="AT890" s="5"/>
      <c r="AU890" s="5"/>
    </row>
    <row r="891" spans="2:47" x14ac:dyDescent="0.15">
      <c r="B891" s="23"/>
      <c r="C891" s="2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Z891" s="21"/>
      <c r="AP891" s="5"/>
      <c r="AQ891" s="5"/>
      <c r="AR891" s="5"/>
      <c r="AS891" s="5"/>
      <c r="AT891" s="5"/>
      <c r="AU891" s="5"/>
    </row>
    <row r="892" spans="2:47" x14ac:dyDescent="0.15">
      <c r="B892" s="23"/>
      <c r="C892" s="2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Z892" s="21"/>
      <c r="AP892" s="5"/>
      <c r="AQ892" s="5"/>
      <c r="AR892" s="5"/>
      <c r="AS892" s="5"/>
      <c r="AT892" s="5"/>
      <c r="AU892" s="5"/>
    </row>
    <row r="893" spans="2:47" x14ac:dyDescent="0.15">
      <c r="B893" s="23"/>
      <c r="C893" s="2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Z893" s="21"/>
      <c r="AP893" s="5"/>
      <c r="AQ893" s="5"/>
      <c r="AR893" s="5"/>
      <c r="AS893" s="5"/>
      <c r="AT893" s="5"/>
      <c r="AU893" s="5"/>
    </row>
    <row r="894" spans="2:47" x14ac:dyDescent="0.15">
      <c r="B894" s="23"/>
      <c r="C894" s="2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Z894" s="21"/>
      <c r="AP894" s="5"/>
      <c r="AQ894" s="5"/>
      <c r="AR894" s="5"/>
      <c r="AS894" s="5"/>
      <c r="AT894" s="5"/>
      <c r="AU894" s="5"/>
    </row>
    <row r="895" spans="2:47" x14ac:dyDescent="0.15">
      <c r="B895" s="23"/>
      <c r="C895" s="2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Z895" s="21"/>
      <c r="AP895" s="5"/>
      <c r="AQ895" s="5"/>
      <c r="AR895" s="5"/>
      <c r="AS895" s="5"/>
      <c r="AT895" s="5"/>
      <c r="AU895" s="5"/>
    </row>
    <row r="896" spans="2:47" x14ac:dyDescent="0.15">
      <c r="B896" s="23"/>
      <c r="C896" s="2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Z896" s="21"/>
      <c r="AP896" s="5"/>
      <c r="AQ896" s="5"/>
      <c r="AR896" s="5"/>
      <c r="AS896" s="5"/>
      <c r="AT896" s="5"/>
      <c r="AU896" s="5"/>
    </row>
    <row r="897" spans="2:47" x14ac:dyDescent="0.15">
      <c r="B897" s="23"/>
      <c r="C897" s="2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Z897" s="21"/>
      <c r="AP897" s="5"/>
      <c r="AQ897" s="5"/>
      <c r="AR897" s="5"/>
      <c r="AS897" s="5"/>
      <c r="AT897" s="5"/>
      <c r="AU897" s="5"/>
    </row>
    <row r="898" spans="2:47" x14ac:dyDescent="0.15">
      <c r="B898" s="23"/>
      <c r="C898" s="2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Z898" s="21"/>
      <c r="AP898" s="5"/>
      <c r="AQ898" s="5"/>
      <c r="AR898" s="5"/>
      <c r="AS898" s="5"/>
      <c r="AT898" s="5"/>
      <c r="AU898" s="5"/>
    </row>
    <row r="899" spans="2:47" x14ac:dyDescent="0.15">
      <c r="B899" s="23"/>
      <c r="C899" s="2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Z899" s="21"/>
      <c r="AP899" s="5"/>
      <c r="AQ899" s="5"/>
      <c r="AR899" s="5"/>
      <c r="AS899" s="5"/>
      <c r="AT899" s="5"/>
      <c r="AU899" s="5"/>
    </row>
    <row r="900" spans="2:47" x14ac:dyDescent="0.15">
      <c r="B900" s="23"/>
      <c r="C900" s="2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Z900" s="21"/>
      <c r="AP900" s="5"/>
      <c r="AQ900" s="5"/>
      <c r="AR900" s="5"/>
      <c r="AS900" s="5"/>
      <c r="AT900" s="5"/>
      <c r="AU900" s="5"/>
    </row>
    <row r="901" spans="2:47" x14ac:dyDescent="0.15">
      <c r="B901" s="23"/>
      <c r="C901" s="2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Z901" s="21"/>
      <c r="AP901" s="5"/>
      <c r="AQ901" s="5"/>
      <c r="AR901" s="5"/>
      <c r="AS901" s="5"/>
      <c r="AT901" s="5"/>
      <c r="AU901" s="5"/>
    </row>
    <row r="902" spans="2:47" x14ac:dyDescent="0.15">
      <c r="B902" s="23"/>
      <c r="C902" s="2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Z902" s="21"/>
      <c r="AP902" s="5"/>
      <c r="AQ902" s="5"/>
      <c r="AR902" s="5"/>
      <c r="AS902" s="5"/>
      <c r="AT902" s="5"/>
      <c r="AU902" s="5"/>
    </row>
    <row r="903" spans="2:47" x14ac:dyDescent="0.15">
      <c r="B903" s="23"/>
      <c r="C903" s="2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Z903" s="21"/>
      <c r="AP903" s="5"/>
      <c r="AQ903" s="5"/>
      <c r="AR903" s="5"/>
      <c r="AS903" s="5"/>
      <c r="AT903" s="5"/>
      <c r="AU903" s="5"/>
    </row>
    <row r="904" spans="2:47" x14ac:dyDescent="0.15">
      <c r="B904" s="23"/>
      <c r="C904" s="2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Z904" s="21"/>
      <c r="AP904" s="5"/>
      <c r="AQ904" s="5"/>
      <c r="AR904" s="5"/>
      <c r="AS904" s="5"/>
      <c r="AT904" s="5"/>
      <c r="AU904" s="5"/>
    </row>
    <row r="905" spans="2:47" x14ac:dyDescent="0.15">
      <c r="B905" s="23"/>
      <c r="C905" s="2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Z905" s="21"/>
      <c r="AP905" s="5"/>
      <c r="AQ905" s="5"/>
      <c r="AR905" s="5"/>
      <c r="AS905" s="5"/>
      <c r="AT905" s="5"/>
      <c r="AU905" s="5"/>
    </row>
    <row r="906" spans="2:47" x14ac:dyDescent="0.15">
      <c r="B906" s="23"/>
      <c r="C906" s="2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Z906" s="21"/>
      <c r="AP906" s="5"/>
      <c r="AQ906" s="5"/>
      <c r="AR906" s="5"/>
      <c r="AS906" s="5"/>
      <c r="AT906" s="5"/>
      <c r="AU906" s="5"/>
    </row>
    <row r="907" spans="2:47" x14ac:dyDescent="0.15">
      <c r="B907" s="23"/>
      <c r="C907" s="2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Z907" s="21"/>
      <c r="AP907" s="5"/>
      <c r="AQ907" s="5"/>
      <c r="AR907" s="5"/>
      <c r="AS907" s="5"/>
      <c r="AT907" s="5"/>
      <c r="AU907" s="5"/>
    </row>
    <row r="908" spans="2:47" x14ac:dyDescent="0.15">
      <c r="B908" s="23"/>
      <c r="C908" s="2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Z908" s="21"/>
      <c r="AP908" s="5"/>
      <c r="AQ908" s="5"/>
      <c r="AR908" s="5"/>
      <c r="AS908" s="5"/>
      <c r="AT908" s="5"/>
      <c r="AU908" s="5"/>
    </row>
    <row r="909" spans="2:47" x14ac:dyDescent="0.15">
      <c r="B909" s="23"/>
      <c r="C909" s="2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Z909" s="21"/>
      <c r="AP909" s="5"/>
      <c r="AQ909" s="5"/>
      <c r="AR909" s="5"/>
      <c r="AS909" s="5"/>
      <c r="AT909" s="5"/>
      <c r="AU909" s="5"/>
    </row>
    <row r="910" spans="2:47" x14ac:dyDescent="0.15">
      <c r="B910" s="23"/>
      <c r="C910" s="2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Z910" s="21"/>
      <c r="AP910" s="5"/>
      <c r="AQ910" s="5"/>
      <c r="AR910" s="5"/>
      <c r="AS910" s="5"/>
      <c r="AT910" s="5"/>
      <c r="AU910" s="5"/>
    </row>
    <row r="911" spans="2:47" x14ac:dyDescent="0.15">
      <c r="B911" s="23"/>
      <c r="C911" s="2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Z911" s="21"/>
      <c r="AP911" s="5"/>
      <c r="AQ911" s="5"/>
      <c r="AR911" s="5"/>
      <c r="AS911" s="5"/>
      <c r="AT911" s="5"/>
      <c r="AU911" s="5"/>
    </row>
    <row r="912" spans="2:47" x14ac:dyDescent="0.15">
      <c r="B912" s="23"/>
      <c r="C912" s="2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Z912" s="21"/>
      <c r="AP912" s="5"/>
      <c r="AQ912" s="5"/>
      <c r="AR912" s="5"/>
      <c r="AS912" s="5"/>
      <c r="AT912" s="5"/>
      <c r="AU912" s="5"/>
    </row>
    <row r="913" spans="2:47" x14ac:dyDescent="0.15">
      <c r="B913" s="23"/>
      <c r="C913" s="2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Z913" s="21"/>
      <c r="AP913" s="5"/>
      <c r="AQ913" s="5"/>
      <c r="AR913" s="5"/>
      <c r="AS913" s="5"/>
      <c r="AT913" s="5"/>
      <c r="AU913" s="5"/>
    </row>
    <row r="914" spans="2:47" x14ac:dyDescent="0.15">
      <c r="B914" s="23"/>
      <c r="C914" s="2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Z914" s="21"/>
      <c r="AP914" s="5"/>
      <c r="AQ914" s="5"/>
      <c r="AR914" s="5"/>
      <c r="AS914" s="5"/>
      <c r="AT914" s="5"/>
      <c r="AU914" s="5"/>
    </row>
    <row r="915" spans="2:47" x14ac:dyDescent="0.15">
      <c r="B915" s="23"/>
      <c r="C915" s="2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Z915" s="21"/>
      <c r="AP915" s="5"/>
      <c r="AQ915" s="5"/>
      <c r="AR915" s="5"/>
      <c r="AS915" s="5"/>
      <c r="AT915" s="5"/>
      <c r="AU915" s="5"/>
    </row>
    <row r="916" spans="2:47" x14ac:dyDescent="0.15">
      <c r="B916" s="23"/>
      <c r="C916" s="2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Z916" s="21"/>
      <c r="AP916" s="5"/>
      <c r="AQ916" s="5"/>
      <c r="AR916" s="5"/>
      <c r="AS916" s="5"/>
      <c r="AT916" s="5"/>
      <c r="AU916" s="5"/>
    </row>
    <row r="917" spans="2:47" x14ac:dyDescent="0.15">
      <c r="B917" s="23"/>
      <c r="C917" s="2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Z917" s="21"/>
      <c r="AP917" s="5"/>
      <c r="AQ917" s="5"/>
      <c r="AR917" s="5"/>
      <c r="AS917" s="5"/>
      <c r="AT917" s="5"/>
      <c r="AU917" s="5"/>
    </row>
    <row r="918" spans="2:47" x14ac:dyDescent="0.15">
      <c r="B918" s="23"/>
      <c r="C918" s="2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Z918" s="21"/>
      <c r="AP918" s="5"/>
      <c r="AQ918" s="5"/>
      <c r="AR918" s="5"/>
      <c r="AS918" s="5"/>
      <c r="AT918" s="5"/>
      <c r="AU918" s="5"/>
    </row>
    <row r="919" spans="2:47" x14ac:dyDescent="0.15">
      <c r="B919" s="23"/>
      <c r="C919" s="2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Z919" s="21"/>
      <c r="AP919" s="5"/>
      <c r="AQ919" s="5"/>
      <c r="AR919" s="5"/>
      <c r="AS919" s="5"/>
      <c r="AT919" s="5"/>
      <c r="AU919" s="5"/>
    </row>
    <row r="920" spans="2:47" x14ac:dyDescent="0.15">
      <c r="B920" s="23"/>
      <c r="C920" s="2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Z920" s="21"/>
      <c r="AP920" s="5"/>
      <c r="AQ920" s="5"/>
      <c r="AR920" s="5"/>
      <c r="AS920" s="5"/>
      <c r="AT920" s="5"/>
      <c r="AU920" s="5"/>
    </row>
    <row r="921" spans="2:47" x14ac:dyDescent="0.15">
      <c r="B921" s="23"/>
      <c r="C921" s="2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Z921" s="21"/>
      <c r="AP921" s="5"/>
      <c r="AQ921" s="5"/>
      <c r="AR921" s="5"/>
      <c r="AS921" s="5"/>
      <c r="AT921" s="5"/>
      <c r="AU921" s="5"/>
    </row>
    <row r="922" spans="2:47" x14ac:dyDescent="0.15">
      <c r="B922" s="23"/>
      <c r="C922" s="2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Z922" s="21"/>
      <c r="AP922" s="5"/>
      <c r="AQ922" s="5"/>
      <c r="AR922" s="5"/>
      <c r="AS922" s="5"/>
      <c r="AT922" s="5"/>
      <c r="AU922" s="5"/>
    </row>
    <row r="923" spans="2:47" x14ac:dyDescent="0.15">
      <c r="B923" s="23"/>
      <c r="C923" s="2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Z923" s="21"/>
      <c r="AP923" s="5"/>
      <c r="AQ923" s="5"/>
      <c r="AR923" s="5"/>
      <c r="AS923" s="5"/>
      <c r="AT923" s="5"/>
      <c r="AU923" s="5"/>
    </row>
    <row r="924" spans="2:47" x14ac:dyDescent="0.15">
      <c r="B924" s="23"/>
      <c r="C924" s="2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Z924" s="21"/>
      <c r="AP924" s="5"/>
      <c r="AQ924" s="5"/>
      <c r="AR924" s="5"/>
      <c r="AS924" s="5"/>
      <c r="AT924" s="5"/>
      <c r="AU924" s="5"/>
    </row>
    <row r="925" spans="2:47" x14ac:dyDescent="0.15">
      <c r="B925" s="23"/>
      <c r="C925" s="2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Z925" s="21"/>
      <c r="AP925" s="5"/>
      <c r="AQ925" s="5"/>
      <c r="AR925" s="5"/>
      <c r="AS925" s="5"/>
      <c r="AT925" s="5"/>
      <c r="AU925" s="5"/>
    </row>
    <row r="926" spans="2:47" x14ac:dyDescent="0.15">
      <c r="B926" s="23"/>
      <c r="C926" s="2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Z926" s="21"/>
      <c r="AP926" s="5"/>
      <c r="AQ926" s="5"/>
      <c r="AR926" s="5"/>
      <c r="AS926" s="5"/>
      <c r="AT926" s="5"/>
      <c r="AU926" s="5"/>
    </row>
    <row r="927" spans="2:47" x14ac:dyDescent="0.15">
      <c r="B927" s="23"/>
      <c r="C927" s="2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Z927" s="21"/>
      <c r="AP927" s="5"/>
      <c r="AQ927" s="5"/>
      <c r="AR927" s="5"/>
      <c r="AS927" s="5"/>
      <c r="AT927" s="5"/>
      <c r="AU927" s="5"/>
    </row>
    <row r="928" spans="2:47" x14ac:dyDescent="0.15">
      <c r="B928" s="23"/>
      <c r="C928" s="2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Z928" s="21"/>
      <c r="AP928" s="5"/>
      <c r="AQ928" s="5"/>
      <c r="AR928" s="5"/>
      <c r="AS928" s="5"/>
      <c r="AT928" s="5"/>
      <c r="AU928" s="5"/>
    </row>
    <row r="929" spans="2:47" x14ac:dyDescent="0.15">
      <c r="B929" s="23"/>
      <c r="C929" s="2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Z929" s="21"/>
      <c r="AP929" s="5"/>
      <c r="AQ929" s="5"/>
      <c r="AR929" s="5"/>
      <c r="AS929" s="5"/>
      <c r="AT929" s="5"/>
      <c r="AU929" s="5"/>
    </row>
    <row r="930" spans="2:47" x14ac:dyDescent="0.15">
      <c r="B930" s="23"/>
      <c r="C930" s="2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Z930" s="21"/>
      <c r="AP930" s="5"/>
      <c r="AQ930" s="5"/>
      <c r="AR930" s="5"/>
      <c r="AS930" s="5"/>
      <c r="AT930" s="5"/>
      <c r="AU930" s="5"/>
    </row>
    <row r="931" spans="2:47" x14ac:dyDescent="0.15">
      <c r="B931" s="23"/>
      <c r="C931" s="2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Z931" s="21"/>
      <c r="AP931" s="5"/>
      <c r="AQ931" s="5"/>
      <c r="AR931" s="5"/>
      <c r="AS931" s="5"/>
      <c r="AT931" s="5"/>
      <c r="AU931" s="5"/>
    </row>
    <row r="932" spans="2:47" x14ac:dyDescent="0.15">
      <c r="B932" s="23"/>
      <c r="C932" s="2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Z932" s="21"/>
      <c r="AP932" s="5"/>
      <c r="AQ932" s="5"/>
      <c r="AR932" s="5"/>
      <c r="AS932" s="5"/>
      <c r="AT932" s="5"/>
      <c r="AU932" s="5"/>
    </row>
    <row r="933" spans="2:47" x14ac:dyDescent="0.15">
      <c r="B933" s="23"/>
      <c r="C933" s="2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Z933" s="21"/>
      <c r="AP933" s="5"/>
      <c r="AQ933" s="5"/>
      <c r="AR933" s="5"/>
      <c r="AS933" s="5"/>
      <c r="AT933" s="5"/>
      <c r="AU933" s="5"/>
    </row>
    <row r="934" spans="2:47" x14ac:dyDescent="0.15">
      <c r="B934" s="23"/>
      <c r="C934" s="2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Z934" s="21"/>
      <c r="AP934" s="5"/>
      <c r="AQ934" s="5"/>
      <c r="AR934" s="5"/>
      <c r="AS934" s="5"/>
      <c r="AT934" s="5"/>
      <c r="AU934" s="5"/>
    </row>
    <row r="935" spans="2:47" x14ac:dyDescent="0.15">
      <c r="B935" s="23"/>
      <c r="C935" s="2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Z935" s="21"/>
      <c r="AP935" s="5"/>
      <c r="AQ935" s="5"/>
      <c r="AR935" s="5"/>
      <c r="AS935" s="5"/>
      <c r="AT935" s="5"/>
      <c r="AU935" s="5"/>
    </row>
    <row r="936" spans="2:47" x14ac:dyDescent="0.15">
      <c r="B936" s="23"/>
      <c r="C936" s="2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Z936" s="21"/>
      <c r="AP936" s="5"/>
      <c r="AQ936" s="5"/>
      <c r="AR936" s="5"/>
      <c r="AS936" s="5"/>
      <c r="AT936" s="5"/>
      <c r="AU936" s="5"/>
    </row>
    <row r="937" spans="2:47" x14ac:dyDescent="0.15">
      <c r="B937" s="23"/>
      <c r="C937" s="2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Z937" s="21"/>
      <c r="AP937" s="5"/>
      <c r="AQ937" s="5"/>
      <c r="AR937" s="5"/>
      <c r="AS937" s="5"/>
      <c r="AT937" s="5"/>
      <c r="AU937" s="5"/>
    </row>
    <row r="938" spans="2:47" x14ac:dyDescent="0.15">
      <c r="B938" s="23"/>
      <c r="C938" s="2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Z938" s="21"/>
      <c r="AP938" s="5"/>
      <c r="AQ938" s="5"/>
      <c r="AR938" s="5"/>
      <c r="AS938" s="5"/>
      <c r="AT938" s="5"/>
      <c r="AU938" s="5"/>
    </row>
    <row r="939" spans="2:47" x14ac:dyDescent="0.15">
      <c r="B939" s="23"/>
      <c r="C939" s="2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Z939" s="21"/>
      <c r="AP939" s="5"/>
      <c r="AQ939" s="5"/>
      <c r="AR939" s="5"/>
      <c r="AS939" s="5"/>
      <c r="AT939" s="5"/>
      <c r="AU939" s="5"/>
    </row>
    <row r="940" spans="2:47" x14ac:dyDescent="0.15">
      <c r="B940" s="23"/>
      <c r="C940" s="2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Z940" s="21"/>
      <c r="AP940" s="5"/>
      <c r="AQ940" s="5"/>
      <c r="AR940" s="5"/>
      <c r="AS940" s="5"/>
      <c r="AT940" s="5"/>
      <c r="AU940" s="5"/>
    </row>
    <row r="941" spans="2:47" x14ac:dyDescent="0.15">
      <c r="B941" s="23"/>
      <c r="C941" s="2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Z941" s="21"/>
      <c r="AP941" s="5"/>
      <c r="AQ941" s="5"/>
      <c r="AR941" s="5"/>
      <c r="AS941" s="5"/>
      <c r="AT941" s="5"/>
      <c r="AU941" s="5"/>
    </row>
    <row r="942" spans="2:47" x14ac:dyDescent="0.15">
      <c r="B942" s="23"/>
      <c r="C942" s="2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Z942" s="21"/>
      <c r="AP942" s="5"/>
      <c r="AQ942" s="5"/>
      <c r="AR942" s="5"/>
      <c r="AS942" s="5"/>
      <c r="AT942" s="5"/>
      <c r="AU942" s="5"/>
    </row>
    <row r="943" spans="2:47" x14ac:dyDescent="0.15">
      <c r="B943" s="23"/>
      <c r="C943" s="2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Z943" s="21"/>
      <c r="AP943" s="5"/>
      <c r="AQ943" s="5"/>
      <c r="AR943" s="5"/>
      <c r="AS943" s="5"/>
      <c r="AT943" s="5"/>
      <c r="AU943" s="5"/>
    </row>
    <row r="944" spans="2:47" x14ac:dyDescent="0.15">
      <c r="B944" s="23"/>
      <c r="C944" s="2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Z944" s="21"/>
      <c r="AP944" s="5"/>
      <c r="AQ944" s="5"/>
      <c r="AR944" s="5"/>
      <c r="AS944" s="5"/>
      <c r="AT944" s="5"/>
      <c r="AU944" s="5"/>
    </row>
    <row r="945" spans="2:47" x14ac:dyDescent="0.15">
      <c r="B945" s="23"/>
      <c r="C945" s="2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Z945" s="21"/>
      <c r="AP945" s="5"/>
      <c r="AQ945" s="5"/>
      <c r="AR945" s="5"/>
      <c r="AS945" s="5"/>
      <c r="AT945" s="5"/>
      <c r="AU945" s="5"/>
    </row>
    <row r="946" spans="2:47" x14ac:dyDescent="0.15">
      <c r="B946" s="23"/>
      <c r="C946" s="2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Z946" s="21"/>
      <c r="AP946" s="5"/>
      <c r="AQ946" s="5"/>
      <c r="AR946" s="5"/>
      <c r="AS946" s="5"/>
      <c r="AT946" s="5"/>
      <c r="AU946" s="5"/>
    </row>
    <row r="947" spans="2:47" x14ac:dyDescent="0.15">
      <c r="B947" s="23"/>
      <c r="C947" s="2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Z947" s="21"/>
      <c r="AP947" s="5"/>
      <c r="AQ947" s="5"/>
      <c r="AR947" s="5"/>
      <c r="AS947" s="5"/>
      <c r="AT947" s="5"/>
      <c r="AU947" s="5"/>
    </row>
    <row r="948" spans="2:47" x14ac:dyDescent="0.15">
      <c r="B948" s="23"/>
      <c r="C948" s="2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Z948" s="21"/>
      <c r="AP948" s="5"/>
      <c r="AQ948" s="5"/>
      <c r="AR948" s="5"/>
      <c r="AS948" s="5"/>
      <c r="AT948" s="5"/>
      <c r="AU948" s="5"/>
    </row>
    <row r="949" spans="2:47" x14ac:dyDescent="0.15">
      <c r="B949" s="23"/>
      <c r="C949" s="2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Z949" s="21"/>
      <c r="AP949" s="5"/>
      <c r="AQ949" s="5"/>
      <c r="AR949" s="5"/>
      <c r="AS949" s="5"/>
      <c r="AT949" s="5"/>
      <c r="AU949" s="5"/>
    </row>
    <row r="950" spans="2:47" x14ac:dyDescent="0.15">
      <c r="B950" s="23"/>
      <c r="C950" s="2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Z950" s="21"/>
      <c r="AP950" s="5"/>
      <c r="AQ950" s="5"/>
      <c r="AR950" s="5"/>
      <c r="AS950" s="5"/>
      <c r="AT950" s="5"/>
      <c r="AU950" s="5"/>
    </row>
    <row r="951" spans="2:47" x14ac:dyDescent="0.15">
      <c r="B951" s="23"/>
      <c r="C951" s="2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Z951" s="21"/>
      <c r="AP951" s="5"/>
      <c r="AQ951" s="5"/>
      <c r="AR951" s="5"/>
      <c r="AS951" s="5"/>
      <c r="AT951" s="5"/>
      <c r="AU951" s="5"/>
    </row>
    <row r="952" spans="2:47" x14ac:dyDescent="0.15">
      <c r="B952" s="23"/>
      <c r="C952" s="2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Z952" s="21"/>
      <c r="AP952" s="5"/>
      <c r="AQ952" s="5"/>
      <c r="AR952" s="5"/>
      <c r="AS952" s="5"/>
      <c r="AT952" s="5"/>
      <c r="AU952" s="5"/>
    </row>
    <row r="953" spans="2:47" x14ac:dyDescent="0.15">
      <c r="B953" s="23"/>
      <c r="C953" s="2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Z953" s="21"/>
      <c r="AP953" s="5"/>
      <c r="AQ953" s="5"/>
      <c r="AR953" s="5"/>
      <c r="AS953" s="5"/>
      <c r="AT953" s="5"/>
      <c r="AU953" s="5"/>
    </row>
    <row r="954" spans="2:47" x14ac:dyDescent="0.15">
      <c r="B954" s="23"/>
      <c r="C954" s="2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Z954" s="21"/>
      <c r="AP954" s="5"/>
      <c r="AQ954" s="5"/>
      <c r="AR954" s="5"/>
      <c r="AS954" s="5"/>
      <c r="AT954" s="5"/>
      <c r="AU954" s="5"/>
    </row>
    <row r="955" spans="2:47" x14ac:dyDescent="0.15">
      <c r="B955" s="23"/>
      <c r="C955" s="2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Z955" s="21"/>
      <c r="AP955" s="5"/>
      <c r="AQ955" s="5"/>
      <c r="AR955" s="5"/>
      <c r="AS955" s="5"/>
      <c r="AT955" s="5"/>
      <c r="AU955" s="5"/>
    </row>
    <row r="956" spans="2:47" x14ac:dyDescent="0.15">
      <c r="B956" s="23"/>
      <c r="C956" s="2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Z956" s="21"/>
      <c r="AP956" s="5"/>
      <c r="AQ956" s="5"/>
      <c r="AR956" s="5"/>
      <c r="AS956" s="5"/>
      <c r="AT956" s="5"/>
      <c r="AU956" s="5"/>
    </row>
    <row r="957" spans="2:47" x14ac:dyDescent="0.15">
      <c r="B957" s="23"/>
      <c r="C957" s="2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Z957" s="21"/>
      <c r="AP957" s="5"/>
      <c r="AQ957" s="5"/>
      <c r="AR957" s="5"/>
      <c r="AS957" s="5"/>
      <c r="AT957" s="5"/>
      <c r="AU957" s="5"/>
    </row>
    <row r="958" spans="2:47" x14ac:dyDescent="0.15">
      <c r="B958" s="23"/>
      <c r="C958" s="2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Z958" s="21"/>
      <c r="AP958" s="5"/>
      <c r="AQ958" s="5"/>
      <c r="AR958" s="5"/>
      <c r="AS958" s="5"/>
      <c r="AT958" s="5"/>
      <c r="AU958" s="5"/>
    </row>
    <row r="959" spans="2:47" x14ac:dyDescent="0.15">
      <c r="B959" s="23"/>
      <c r="C959" s="2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Z959" s="21"/>
      <c r="AP959" s="5"/>
      <c r="AQ959" s="5"/>
      <c r="AR959" s="5"/>
      <c r="AS959" s="5"/>
      <c r="AT959" s="5"/>
      <c r="AU959" s="5"/>
    </row>
    <row r="960" spans="2:47" x14ac:dyDescent="0.15">
      <c r="B960" s="23"/>
      <c r="C960" s="2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Z960" s="21"/>
      <c r="AP960" s="5"/>
      <c r="AQ960" s="5"/>
      <c r="AR960" s="5"/>
      <c r="AS960" s="5"/>
      <c r="AT960" s="5"/>
      <c r="AU960" s="5"/>
    </row>
    <row r="961" spans="2:47" x14ac:dyDescent="0.15">
      <c r="B961" s="23"/>
      <c r="C961" s="2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Z961" s="21"/>
      <c r="AP961" s="5"/>
      <c r="AQ961" s="5"/>
      <c r="AR961" s="5"/>
      <c r="AS961" s="5"/>
      <c r="AT961" s="5"/>
      <c r="AU961" s="5"/>
    </row>
    <row r="962" spans="2:47" x14ac:dyDescent="0.15">
      <c r="B962" s="23"/>
      <c r="C962" s="2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Z962" s="21"/>
      <c r="AP962" s="5"/>
      <c r="AQ962" s="5"/>
      <c r="AR962" s="5"/>
      <c r="AS962" s="5"/>
      <c r="AT962" s="5"/>
      <c r="AU962" s="5"/>
    </row>
    <row r="963" spans="2:47" x14ac:dyDescent="0.15">
      <c r="B963" s="23"/>
      <c r="C963" s="2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Z963" s="21"/>
      <c r="AP963" s="5"/>
      <c r="AQ963" s="5"/>
      <c r="AR963" s="5"/>
      <c r="AS963" s="5"/>
      <c r="AT963" s="5"/>
      <c r="AU963" s="5"/>
    </row>
    <row r="964" spans="2:47" x14ac:dyDescent="0.15">
      <c r="B964" s="23"/>
      <c r="C964" s="2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Z964" s="21"/>
      <c r="AP964" s="5"/>
      <c r="AQ964" s="5"/>
      <c r="AR964" s="5"/>
      <c r="AS964" s="5"/>
      <c r="AT964" s="5"/>
      <c r="AU964" s="5"/>
    </row>
    <row r="965" spans="2:47" x14ac:dyDescent="0.15">
      <c r="B965" s="23"/>
      <c r="C965" s="2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Z965" s="21"/>
      <c r="AP965" s="5"/>
      <c r="AQ965" s="5"/>
      <c r="AR965" s="5"/>
      <c r="AS965" s="5"/>
      <c r="AT965" s="5"/>
      <c r="AU965" s="5"/>
    </row>
    <row r="966" spans="2:47" x14ac:dyDescent="0.15">
      <c r="B966" s="23"/>
      <c r="C966" s="2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Z966" s="21"/>
      <c r="AP966" s="5"/>
      <c r="AQ966" s="5"/>
      <c r="AR966" s="5"/>
      <c r="AS966" s="5"/>
      <c r="AT966" s="5"/>
      <c r="AU966" s="5"/>
    </row>
    <row r="967" spans="2:47" x14ac:dyDescent="0.15">
      <c r="B967" s="23"/>
      <c r="C967" s="2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Z967" s="21"/>
      <c r="AP967" s="5"/>
      <c r="AQ967" s="5"/>
      <c r="AR967" s="5"/>
      <c r="AS967" s="5"/>
      <c r="AT967" s="5"/>
      <c r="AU967" s="5"/>
    </row>
    <row r="968" spans="2:47" x14ac:dyDescent="0.15">
      <c r="B968" s="23"/>
      <c r="C968" s="2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Z968" s="21"/>
      <c r="AP968" s="5"/>
      <c r="AQ968" s="5"/>
      <c r="AR968" s="5"/>
      <c r="AS968" s="5"/>
      <c r="AT968" s="5"/>
      <c r="AU968" s="5"/>
    </row>
    <row r="969" spans="2:47" x14ac:dyDescent="0.15">
      <c r="B969" s="23"/>
      <c r="C969" s="2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Z969" s="21"/>
      <c r="AP969" s="5"/>
      <c r="AQ969" s="5"/>
      <c r="AR969" s="5"/>
      <c r="AS969" s="5"/>
      <c r="AT969" s="5"/>
      <c r="AU969" s="5"/>
    </row>
    <row r="970" spans="2:47" x14ac:dyDescent="0.15">
      <c r="B970" s="23"/>
      <c r="C970" s="2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Z970" s="21"/>
      <c r="AP970" s="5"/>
      <c r="AQ970" s="5"/>
      <c r="AR970" s="5"/>
      <c r="AS970" s="5"/>
      <c r="AT970" s="5"/>
      <c r="AU970" s="5"/>
    </row>
    <row r="971" spans="2:47" x14ac:dyDescent="0.15">
      <c r="B971" s="23"/>
      <c r="C971" s="2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Z971" s="21"/>
      <c r="AP971" s="5"/>
      <c r="AQ971" s="5"/>
      <c r="AR971" s="5"/>
      <c r="AS971" s="5"/>
      <c r="AT971" s="5"/>
      <c r="AU971" s="5"/>
    </row>
    <row r="972" spans="2:47" x14ac:dyDescent="0.15">
      <c r="B972" s="23"/>
      <c r="C972" s="2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Z972" s="21"/>
      <c r="AP972" s="5"/>
      <c r="AQ972" s="5"/>
      <c r="AR972" s="5"/>
      <c r="AS972" s="5"/>
      <c r="AT972" s="5"/>
      <c r="AU972" s="5"/>
    </row>
    <row r="973" spans="2:47" x14ac:dyDescent="0.15">
      <c r="B973" s="23"/>
      <c r="C973" s="2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Z973" s="21"/>
      <c r="AP973" s="5"/>
      <c r="AQ973" s="5"/>
      <c r="AR973" s="5"/>
      <c r="AS973" s="5"/>
      <c r="AT973" s="5"/>
      <c r="AU973" s="5"/>
    </row>
    <row r="974" spans="2:47" x14ac:dyDescent="0.15">
      <c r="B974" s="23"/>
      <c r="C974" s="2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Z974" s="21"/>
      <c r="AP974" s="5"/>
      <c r="AQ974" s="5"/>
      <c r="AR974" s="5"/>
      <c r="AS974" s="5"/>
      <c r="AT974" s="5"/>
      <c r="AU974" s="5"/>
    </row>
    <row r="975" spans="2:47" x14ac:dyDescent="0.15">
      <c r="B975" s="23"/>
      <c r="C975" s="2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Z975" s="21"/>
      <c r="AP975" s="5"/>
      <c r="AQ975" s="5"/>
      <c r="AR975" s="5"/>
      <c r="AS975" s="5"/>
      <c r="AT975" s="5"/>
      <c r="AU975" s="5"/>
    </row>
    <row r="976" spans="2:47" x14ac:dyDescent="0.15">
      <c r="B976" s="23"/>
      <c r="C976" s="2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Z976" s="21"/>
      <c r="AP976" s="5"/>
      <c r="AQ976" s="5"/>
      <c r="AR976" s="5"/>
      <c r="AS976" s="5"/>
      <c r="AT976" s="5"/>
      <c r="AU976" s="5"/>
    </row>
    <row r="977" spans="2:47" x14ac:dyDescent="0.15">
      <c r="B977" s="23"/>
      <c r="C977" s="2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Z977" s="21"/>
      <c r="AP977" s="5"/>
      <c r="AQ977" s="5"/>
      <c r="AR977" s="5"/>
      <c r="AS977" s="5"/>
      <c r="AT977" s="5"/>
      <c r="AU977" s="5"/>
    </row>
    <row r="978" spans="2:47" x14ac:dyDescent="0.15">
      <c r="B978" s="23"/>
      <c r="C978" s="2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Z978" s="21"/>
      <c r="AP978" s="5"/>
      <c r="AQ978" s="5"/>
      <c r="AR978" s="5"/>
      <c r="AS978" s="5"/>
      <c r="AT978" s="5"/>
      <c r="AU978" s="5"/>
    </row>
    <row r="979" spans="2:47" x14ac:dyDescent="0.15">
      <c r="B979" s="23"/>
      <c r="C979" s="2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Z979" s="21"/>
      <c r="AP979" s="5"/>
      <c r="AQ979" s="5"/>
      <c r="AR979" s="5"/>
      <c r="AS979" s="5"/>
      <c r="AT979" s="5"/>
      <c r="AU979" s="5"/>
    </row>
    <row r="980" spans="2:47" x14ac:dyDescent="0.15">
      <c r="B980" s="23"/>
      <c r="C980" s="2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Z980" s="21"/>
      <c r="AP980" s="5"/>
      <c r="AQ980" s="5"/>
      <c r="AR980" s="5"/>
      <c r="AS980" s="5"/>
      <c r="AT980" s="5"/>
      <c r="AU980" s="5"/>
    </row>
    <row r="981" spans="2:47" x14ac:dyDescent="0.15">
      <c r="B981" s="23"/>
      <c r="C981" s="2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Z981" s="21"/>
      <c r="AP981" s="5"/>
      <c r="AQ981" s="5"/>
      <c r="AR981" s="5"/>
      <c r="AS981" s="5"/>
      <c r="AT981" s="5"/>
      <c r="AU981" s="5"/>
    </row>
    <row r="982" spans="2:47" x14ac:dyDescent="0.15">
      <c r="B982" s="23"/>
      <c r="C982" s="2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Z982" s="21"/>
      <c r="AP982" s="5"/>
      <c r="AQ982" s="5"/>
      <c r="AR982" s="5"/>
      <c r="AS982" s="5"/>
      <c r="AT982" s="5"/>
      <c r="AU982" s="5"/>
    </row>
    <row r="983" spans="2:47" x14ac:dyDescent="0.15">
      <c r="B983" s="23"/>
      <c r="C983" s="2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Z983" s="21"/>
      <c r="AP983" s="5"/>
      <c r="AQ983" s="5"/>
      <c r="AR983" s="5"/>
      <c r="AS983" s="5"/>
      <c r="AT983" s="5"/>
      <c r="AU983" s="5"/>
    </row>
    <row r="984" spans="2:47" x14ac:dyDescent="0.15">
      <c r="B984" s="23"/>
      <c r="C984" s="2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Z984" s="21"/>
      <c r="AP984" s="5"/>
      <c r="AQ984" s="5"/>
      <c r="AR984" s="5"/>
      <c r="AS984" s="5"/>
      <c r="AT984" s="5"/>
      <c r="AU984" s="5"/>
    </row>
    <row r="985" spans="2:47" x14ac:dyDescent="0.15">
      <c r="B985" s="23"/>
      <c r="C985" s="2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Z985" s="21"/>
      <c r="AP985" s="5"/>
      <c r="AQ985" s="5"/>
      <c r="AR985" s="5"/>
      <c r="AS985" s="5"/>
      <c r="AT985" s="5"/>
      <c r="AU985" s="5"/>
    </row>
    <row r="986" spans="2:47" x14ac:dyDescent="0.15">
      <c r="B986" s="23"/>
      <c r="C986" s="2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Z986" s="21"/>
      <c r="AP986" s="5"/>
      <c r="AQ986" s="5"/>
      <c r="AR986" s="5"/>
      <c r="AS986" s="5"/>
      <c r="AT986" s="5"/>
      <c r="AU986" s="5"/>
    </row>
    <row r="987" spans="2:47" x14ac:dyDescent="0.15">
      <c r="B987" s="23"/>
      <c r="C987" s="2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Z987" s="21"/>
      <c r="AP987" s="5"/>
      <c r="AQ987" s="5"/>
      <c r="AR987" s="5"/>
      <c r="AS987" s="5"/>
      <c r="AT987" s="5"/>
      <c r="AU987" s="5"/>
    </row>
    <row r="988" spans="2:47" x14ac:dyDescent="0.15">
      <c r="B988" s="23"/>
      <c r="C988" s="2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Z988" s="21"/>
      <c r="AP988" s="5"/>
      <c r="AQ988" s="5"/>
      <c r="AR988" s="5"/>
      <c r="AS988" s="5"/>
      <c r="AT988" s="5"/>
      <c r="AU988" s="5"/>
    </row>
    <row r="989" spans="2:47" x14ac:dyDescent="0.15">
      <c r="B989" s="23"/>
      <c r="C989" s="2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Z989" s="21"/>
      <c r="AP989" s="5"/>
      <c r="AQ989" s="5"/>
      <c r="AR989" s="5"/>
      <c r="AS989" s="5"/>
      <c r="AT989" s="5"/>
      <c r="AU989" s="5"/>
    </row>
    <row r="990" spans="2:47" x14ac:dyDescent="0.15">
      <c r="B990" s="23"/>
      <c r="C990" s="2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Z990" s="21"/>
      <c r="AP990" s="5"/>
      <c r="AQ990" s="5"/>
      <c r="AR990" s="5"/>
      <c r="AS990" s="5"/>
      <c r="AT990" s="5"/>
      <c r="AU990" s="5"/>
    </row>
    <row r="991" spans="2:47" x14ac:dyDescent="0.15">
      <c r="B991" s="23"/>
      <c r="C991" s="2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Z991" s="21"/>
      <c r="AP991" s="5"/>
      <c r="AQ991" s="5"/>
      <c r="AR991" s="5"/>
      <c r="AS991" s="5"/>
      <c r="AT991" s="5"/>
      <c r="AU991" s="5"/>
    </row>
    <row r="992" spans="2:47" x14ac:dyDescent="0.15">
      <c r="B992" s="23"/>
      <c r="C992" s="2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Z992" s="21"/>
      <c r="AP992" s="5"/>
      <c r="AQ992" s="5"/>
      <c r="AR992" s="5"/>
      <c r="AS992" s="5"/>
      <c r="AT992" s="5"/>
      <c r="AU992" s="5"/>
    </row>
    <row r="993" spans="2:47" x14ac:dyDescent="0.15">
      <c r="B993" s="23"/>
      <c r="C993" s="2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Z993" s="21"/>
      <c r="AP993" s="5"/>
      <c r="AQ993" s="5"/>
      <c r="AR993" s="5"/>
      <c r="AS993" s="5"/>
      <c r="AT993" s="5"/>
      <c r="AU993" s="5"/>
    </row>
    <row r="994" spans="2:47" x14ac:dyDescent="0.15">
      <c r="B994" s="23"/>
      <c r="C994" s="2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Z994" s="21"/>
      <c r="AP994" s="5"/>
      <c r="AQ994" s="5"/>
      <c r="AR994" s="5"/>
      <c r="AS994" s="5"/>
      <c r="AT994" s="5"/>
      <c r="AU994" s="5"/>
    </row>
    <row r="995" spans="2:47" x14ac:dyDescent="0.15">
      <c r="B995" s="23"/>
      <c r="C995" s="2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Z995" s="21"/>
      <c r="AP995" s="5"/>
      <c r="AQ995" s="5"/>
      <c r="AR995" s="5"/>
      <c r="AS995" s="5"/>
      <c r="AT995" s="5"/>
      <c r="AU995" s="5"/>
    </row>
    <row r="996" spans="2:47" x14ac:dyDescent="0.15">
      <c r="B996" s="23"/>
      <c r="C996" s="2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Z996" s="21"/>
      <c r="AP996" s="5"/>
      <c r="AQ996" s="5"/>
      <c r="AR996" s="5"/>
      <c r="AS996" s="5"/>
      <c r="AT996" s="5"/>
      <c r="AU996" s="5"/>
    </row>
    <row r="997" spans="2:47" x14ac:dyDescent="0.15">
      <c r="B997" s="23"/>
      <c r="C997" s="2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Z997" s="21"/>
      <c r="AP997" s="5"/>
      <c r="AQ997" s="5"/>
      <c r="AR997" s="5"/>
      <c r="AS997" s="5"/>
      <c r="AT997" s="5"/>
      <c r="AU997" s="5"/>
    </row>
    <row r="998" spans="2:47" x14ac:dyDescent="0.15">
      <c r="B998" s="23"/>
      <c r="C998" s="2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Z998" s="21"/>
      <c r="AP998" s="5"/>
      <c r="AQ998" s="5"/>
      <c r="AR998" s="5"/>
      <c r="AS998" s="5"/>
      <c r="AT998" s="5"/>
      <c r="AU998" s="5"/>
    </row>
    <row r="999" spans="2:47" x14ac:dyDescent="0.15">
      <c r="B999" s="23"/>
      <c r="C999" s="2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Z999" s="21"/>
      <c r="AP999" s="5"/>
      <c r="AQ999" s="5"/>
      <c r="AR999" s="5"/>
      <c r="AS999" s="5"/>
      <c r="AT999" s="5"/>
      <c r="AU999" s="5"/>
    </row>
    <row r="1000" spans="2:47" x14ac:dyDescent="0.15">
      <c r="B1000" s="23"/>
      <c r="C1000" s="2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Z1000" s="21"/>
      <c r="AP1000" s="5"/>
      <c r="AQ1000" s="5"/>
      <c r="AR1000" s="5"/>
      <c r="AS1000" s="5"/>
      <c r="AT1000" s="5"/>
      <c r="AU1000" s="5"/>
    </row>
    <row r="1001" spans="2:47" x14ac:dyDescent="0.15">
      <c r="B1001" s="23"/>
      <c r="C1001" s="23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Z1001" s="21"/>
      <c r="AP1001" s="5"/>
      <c r="AQ1001" s="5"/>
      <c r="AR1001" s="5"/>
      <c r="AS1001" s="5"/>
      <c r="AT1001" s="5"/>
      <c r="AU1001" s="5"/>
    </row>
    <row r="1002" spans="2:47" x14ac:dyDescent="0.15">
      <c r="B1002" s="23"/>
      <c r="C1002" s="23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Z1002" s="21"/>
      <c r="AP1002" s="5"/>
      <c r="AQ1002" s="5"/>
      <c r="AR1002" s="5"/>
      <c r="AS1002" s="5"/>
      <c r="AT1002" s="5"/>
      <c r="AU1002" s="5"/>
    </row>
    <row r="1003" spans="2:47" x14ac:dyDescent="0.15">
      <c r="B1003" s="23"/>
      <c r="C1003" s="23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Z1003" s="21"/>
      <c r="AP1003" s="5"/>
      <c r="AQ1003" s="5"/>
      <c r="AR1003" s="5"/>
      <c r="AS1003" s="5"/>
      <c r="AT1003" s="5"/>
      <c r="AU1003" s="5"/>
    </row>
    <row r="1004" spans="2:47" x14ac:dyDescent="0.15">
      <c r="B1004" s="23"/>
      <c r="C1004" s="23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Z1004" s="21"/>
      <c r="AP1004" s="5"/>
      <c r="AQ1004" s="5"/>
      <c r="AR1004" s="5"/>
      <c r="AS1004" s="5"/>
      <c r="AT1004" s="5"/>
      <c r="AU1004" s="5"/>
    </row>
    <row r="1005" spans="2:47" x14ac:dyDescent="0.15">
      <c r="B1005" s="23"/>
      <c r="C1005" s="23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Z1005" s="21"/>
      <c r="AP1005" s="5"/>
      <c r="AQ1005" s="5"/>
      <c r="AR1005" s="5"/>
      <c r="AS1005" s="5"/>
      <c r="AT1005" s="5"/>
      <c r="AU1005" s="5"/>
    </row>
    <row r="1006" spans="2:47" x14ac:dyDescent="0.15">
      <c r="B1006" s="23"/>
      <c r="C1006" s="23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Z1006" s="21"/>
      <c r="AP1006" s="5"/>
      <c r="AQ1006" s="5"/>
      <c r="AR1006" s="5"/>
      <c r="AS1006" s="5"/>
      <c r="AT1006" s="5"/>
      <c r="AU1006" s="5"/>
    </row>
    <row r="1007" spans="2:47" x14ac:dyDescent="0.15">
      <c r="B1007" s="23"/>
      <c r="C1007" s="23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Z1007" s="21"/>
      <c r="AP1007" s="5"/>
      <c r="AQ1007" s="5"/>
      <c r="AR1007" s="5"/>
      <c r="AS1007" s="5"/>
      <c r="AT1007" s="5"/>
      <c r="AU1007" s="5"/>
    </row>
    <row r="1008" spans="2:47" x14ac:dyDescent="0.15">
      <c r="B1008" s="23"/>
      <c r="C1008" s="23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Z1008" s="21"/>
      <c r="AP1008" s="5"/>
      <c r="AQ1008" s="5"/>
      <c r="AR1008" s="5"/>
      <c r="AS1008" s="5"/>
      <c r="AT1008" s="5"/>
      <c r="AU1008" s="5"/>
    </row>
    <row r="1009" spans="2:47" x14ac:dyDescent="0.15">
      <c r="B1009" s="23"/>
      <c r="C1009" s="23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Z1009" s="21"/>
      <c r="AP1009" s="5"/>
      <c r="AQ1009" s="5"/>
      <c r="AR1009" s="5"/>
      <c r="AS1009" s="5"/>
      <c r="AT1009" s="5"/>
      <c r="AU1009" s="5"/>
    </row>
    <row r="1010" spans="2:47" x14ac:dyDescent="0.15">
      <c r="B1010" s="23"/>
      <c r="C1010" s="23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Z1010" s="21"/>
      <c r="AP1010" s="5"/>
      <c r="AQ1010" s="5"/>
      <c r="AR1010" s="5"/>
      <c r="AS1010" s="5"/>
      <c r="AT1010" s="5"/>
      <c r="AU1010" s="5"/>
    </row>
    <row r="1011" spans="2:47" x14ac:dyDescent="0.15">
      <c r="B1011" s="23"/>
      <c r="C1011" s="23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Z1011" s="21"/>
      <c r="AP1011" s="5"/>
      <c r="AQ1011" s="5"/>
      <c r="AR1011" s="5"/>
      <c r="AS1011" s="5"/>
      <c r="AT1011" s="5"/>
      <c r="AU1011" s="5"/>
    </row>
    <row r="1012" spans="2:47" x14ac:dyDescent="0.15">
      <c r="B1012" s="23"/>
      <c r="C1012" s="23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Z1012" s="21"/>
      <c r="AP1012" s="5"/>
      <c r="AQ1012" s="5"/>
      <c r="AR1012" s="5"/>
      <c r="AS1012" s="5"/>
      <c r="AT1012" s="5"/>
      <c r="AU1012" s="5"/>
    </row>
    <row r="1013" spans="2:47" x14ac:dyDescent="0.15">
      <c r="B1013" s="23"/>
      <c r="C1013" s="23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Z1013" s="21"/>
      <c r="AP1013" s="5"/>
      <c r="AQ1013" s="5"/>
      <c r="AR1013" s="5"/>
      <c r="AS1013" s="5"/>
      <c r="AT1013" s="5"/>
      <c r="AU1013" s="5"/>
    </row>
    <row r="1014" spans="2:47" x14ac:dyDescent="0.15">
      <c r="B1014" s="23"/>
      <c r="C1014" s="23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Z1014" s="21"/>
      <c r="AP1014" s="5"/>
      <c r="AQ1014" s="5"/>
      <c r="AR1014" s="5"/>
      <c r="AS1014" s="5"/>
      <c r="AT1014" s="5"/>
      <c r="AU1014" s="5"/>
    </row>
    <row r="1015" spans="2:47" x14ac:dyDescent="0.15">
      <c r="B1015" s="23"/>
      <c r="C1015" s="23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Z1015" s="21"/>
      <c r="AP1015" s="5"/>
      <c r="AQ1015" s="5"/>
      <c r="AR1015" s="5"/>
      <c r="AS1015" s="5"/>
      <c r="AT1015" s="5"/>
      <c r="AU1015" s="5"/>
    </row>
    <row r="1016" spans="2:47" x14ac:dyDescent="0.15">
      <c r="B1016" s="23"/>
      <c r="C1016" s="23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Z1016" s="21"/>
      <c r="AP1016" s="5"/>
      <c r="AQ1016" s="5"/>
      <c r="AR1016" s="5"/>
      <c r="AS1016" s="5"/>
      <c r="AT1016" s="5"/>
      <c r="AU1016" s="5"/>
    </row>
    <row r="1017" spans="2:47" x14ac:dyDescent="0.15">
      <c r="B1017" s="23"/>
      <c r="C1017" s="23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Z1017" s="21"/>
      <c r="AP1017" s="5"/>
      <c r="AQ1017" s="5"/>
      <c r="AR1017" s="5"/>
      <c r="AS1017" s="5"/>
      <c r="AT1017" s="5"/>
      <c r="AU1017" s="5"/>
    </row>
    <row r="1018" spans="2:47" x14ac:dyDescent="0.15">
      <c r="B1018" s="23"/>
      <c r="C1018" s="23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Z1018" s="21"/>
      <c r="AP1018" s="5"/>
      <c r="AQ1018" s="5"/>
      <c r="AR1018" s="5"/>
      <c r="AS1018" s="5"/>
      <c r="AT1018" s="5"/>
      <c r="AU1018" s="5"/>
    </row>
    <row r="1019" spans="2:47" x14ac:dyDescent="0.15">
      <c r="B1019" s="23"/>
      <c r="C1019" s="23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Z1019" s="21"/>
      <c r="AP1019" s="5"/>
      <c r="AQ1019" s="5"/>
      <c r="AR1019" s="5"/>
      <c r="AS1019" s="5"/>
      <c r="AT1019" s="5"/>
      <c r="AU1019" s="5"/>
    </row>
    <row r="1020" spans="2:47" x14ac:dyDescent="0.15">
      <c r="B1020" s="23"/>
      <c r="C1020" s="23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Z1020" s="21"/>
      <c r="AP1020" s="5"/>
      <c r="AQ1020" s="5"/>
      <c r="AR1020" s="5"/>
      <c r="AS1020" s="5"/>
      <c r="AT1020" s="5"/>
      <c r="AU1020" s="5"/>
    </row>
    <row r="1021" spans="2:47" x14ac:dyDescent="0.15">
      <c r="B1021" s="23"/>
      <c r="C1021" s="23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Z1021" s="21"/>
      <c r="AP1021" s="5"/>
      <c r="AQ1021" s="5"/>
      <c r="AR1021" s="5"/>
      <c r="AS1021" s="5"/>
      <c r="AT1021" s="5"/>
      <c r="AU1021" s="5"/>
    </row>
    <row r="1022" spans="2:47" x14ac:dyDescent="0.15">
      <c r="B1022" s="23"/>
      <c r="C1022" s="23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Z1022" s="21"/>
      <c r="AP1022" s="5"/>
      <c r="AQ1022" s="5"/>
      <c r="AR1022" s="5"/>
      <c r="AS1022" s="5"/>
      <c r="AT1022" s="5"/>
      <c r="AU1022" s="5"/>
    </row>
    <row r="1023" spans="2:47" x14ac:dyDescent="0.15">
      <c r="B1023" s="23"/>
      <c r="C1023" s="23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Z1023" s="21"/>
      <c r="AP1023" s="5"/>
      <c r="AQ1023" s="5"/>
      <c r="AR1023" s="5"/>
      <c r="AS1023" s="5"/>
      <c r="AT1023" s="5"/>
      <c r="AU1023" s="5"/>
    </row>
    <row r="1024" spans="2:47" x14ac:dyDescent="0.15">
      <c r="B1024" s="23"/>
      <c r="C1024" s="23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Z1024" s="21"/>
      <c r="AP1024" s="5"/>
      <c r="AQ1024" s="5"/>
      <c r="AR1024" s="5"/>
      <c r="AS1024" s="5"/>
      <c r="AT1024" s="5"/>
      <c r="AU1024" s="5"/>
    </row>
    <row r="1025" spans="2:47" x14ac:dyDescent="0.15">
      <c r="B1025" s="23"/>
      <c r="C1025" s="23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Z1025" s="21"/>
      <c r="AP1025" s="5"/>
      <c r="AQ1025" s="5"/>
      <c r="AR1025" s="5"/>
      <c r="AS1025" s="5"/>
      <c r="AT1025" s="5"/>
      <c r="AU1025" s="5"/>
    </row>
    <row r="1026" spans="2:47" x14ac:dyDescent="0.15">
      <c r="B1026" s="23"/>
      <c r="C1026" s="23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Z1026" s="21"/>
      <c r="AP1026" s="5"/>
      <c r="AQ1026" s="5"/>
      <c r="AR1026" s="5"/>
      <c r="AS1026" s="5"/>
      <c r="AT1026" s="5"/>
      <c r="AU1026" s="5"/>
    </row>
    <row r="1027" spans="2:47" x14ac:dyDescent="0.15">
      <c r="B1027" s="23"/>
      <c r="C1027" s="23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Z1027" s="21"/>
      <c r="AP1027" s="5"/>
      <c r="AQ1027" s="5"/>
      <c r="AR1027" s="5"/>
      <c r="AS1027" s="5"/>
      <c r="AT1027" s="5"/>
      <c r="AU1027" s="5"/>
    </row>
    <row r="1028" spans="2:47" x14ac:dyDescent="0.15">
      <c r="B1028" s="23"/>
      <c r="C1028" s="23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Z1028" s="21"/>
      <c r="AP1028" s="5"/>
      <c r="AQ1028" s="5"/>
      <c r="AR1028" s="5"/>
      <c r="AS1028" s="5"/>
      <c r="AT1028" s="5"/>
      <c r="AU1028" s="5"/>
    </row>
    <row r="1029" spans="2:47" x14ac:dyDescent="0.15">
      <c r="B1029" s="23"/>
      <c r="C1029" s="23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Z1029" s="21"/>
      <c r="AP1029" s="5"/>
      <c r="AQ1029" s="5"/>
      <c r="AR1029" s="5"/>
      <c r="AS1029" s="5"/>
      <c r="AT1029" s="5"/>
      <c r="AU1029" s="5"/>
    </row>
    <row r="1030" spans="2:47" x14ac:dyDescent="0.15">
      <c r="B1030" s="23"/>
      <c r="C1030" s="23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Z1030" s="21"/>
      <c r="AP1030" s="5"/>
      <c r="AQ1030" s="5"/>
      <c r="AR1030" s="5"/>
      <c r="AS1030" s="5"/>
      <c r="AT1030" s="5"/>
      <c r="AU1030" s="5"/>
    </row>
    <row r="1031" spans="2:47" x14ac:dyDescent="0.15">
      <c r="B1031" s="23"/>
      <c r="C1031" s="23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Z1031" s="21"/>
      <c r="AP1031" s="5"/>
      <c r="AQ1031" s="5"/>
      <c r="AR1031" s="5"/>
      <c r="AS1031" s="5"/>
      <c r="AT1031" s="5"/>
      <c r="AU1031" s="5"/>
    </row>
    <row r="1032" spans="2:47" x14ac:dyDescent="0.15">
      <c r="B1032" s="23"/>
      <c r="C1032" s="23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Z1032" s="21"/>
      <c r="AP1032" s="5"/>
      <c r="AQ1032" s="5"/>
      <c r="AR1032" s="5"/>
      <c r="AS1032" s="5"/>
      <c r="AT1032" s="5"/>
      <c r="AU1032" s="5"/>
    </row>
    <row r="1033" spans="2:47" x14ac:dyDescent="0.15">
      <c r="B1033" s="23"/>
      <c r="C1033" s="23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Z1033" s="21"/>
      <c r="AP1033" s="5"/>
      <c r="AQ1033" s="5"/>
      <c r="AR1033" s="5"/>
      <c r="AS1033" s="5"/>
      <c r="AT1033" s="5"/>
      <c r="AU1033" s="5"/>
    </row>
    <row r="1034" spans="2:47" x14ac:dyDescent="0.15">
      <c r="B1034" s="23"/>
      <c r="C1034" s="23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Z1034" s="21"/>
      <c r="AP1034" s="5"/>
      <c r="AQ1034" s="5"/>
      <c r="AR1034" s="5"/>
      <c r="AS1034" s="5"/>
      <c r="AT1034" s="5"/>
      <c r="AU1034" s="5"/>
    </row>
    <row r="1035" spans="2:47" x14ac:dyDescent="0.15">
      <c r="B1035" s="23"/>
      <c r="C1035" s="23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Z1035" s="21"/>
      <c r="AP1035" s="5"/>
      <c r="AQ1035" s="5"/>
      <c r="AR1035" s="5"/>
      <c r="AS1035" s="5"/>
      <c r="AT1035" s="5"/>
      <c r="AU1035" s="5"/>
    </row>
    <row r="1036" spans="2:47" x14ac:dyDescent="0.15">
      <c r="B1036" s="23"/>
      <c r="C1036" s="23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Z1036" s="21"/>
      <c r="AP1036" s="5"/>
      <c r="AQ1036" s="5"/>
      <c r="AR1036" s="5"/>
      <c r="AS1036" s="5"/>
      <c r="AT1036" s="5"/>
      <c r="AU1036" s="5"/>
    </row>
    <row r="1037" spans="2:47" x14ac:dyDescent="0.15">
      <c r="B1037" s="23"/>
      <c r="C1037" s="23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Z1037" s="21"/>
      <c r="AP1037" s="5"/>
      <c r="AQ1037" s="5"/>
      <c r="AR1037" s="5"/>
      <c r="AS1037" s="5"/>
      <c r="AT1037" s="5"/>
      <c r="AU1037" s="5"/>
    </row>
    <row r="1038" spans="2:47" x14ac:dyDescent="0.15">
      <c r="B1038" s="23"/>
      <c r="C1038" s="23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Z1038" s="21"/>
      <c r="AP1038" s="5"/>
      <c r="AQ1038" s="5"/>
      <c r="AR1038" s="5"/>
      <c r="AS1038" s="5"/>
      <c r="AT1038" s="5"/>
      <c r="AU1038" s="5"/>
    </row>
    <row r="1039" spans="2:47" x14ac:dyDescent="0.15">
      <c r="B1039" s="23"/>
      <c r="C1039" s="23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Z1039" s="21"/>
      <c r="AP1039" s="5"/>
      <c r="AQ1039" s="5"/>
      <c r="AR1039" s="5"/>
      <c r="AS1039" s="5"/>
      <c r="AT1039" s="5"/>
      <c r="AU1039" s="5"/>
    </row>
    <row r="1040" spans="2:47" x14ac:dyDescent="0.15">
      <c r="B1040" s="23"/>
      <c r="C1040" s="23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Z1040" s="21"/>
      <c r="AP1040" s="5"/>
      <c r="AQ1040" s="5"/>
      <c r="AR1040" s="5"/>
      <c r="AS1040" s="5"/>
      <c r="AT1040" s="5"/>
      <c r="AU1040" s="5"/>
    </row>
    <row r="1041" spans="2:47" x14ac:dyDescent="0.15">
      <c r="B1041" s="23"/>
      <c r="C1041" s="23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Z1041" s="21"/>
      <c r="AP1041" s="5"/>
      <c r="AQ1041" s="5"/>
      <c r="AR1041" s="5"/>
      <c r="AS1041" s="5"/>
      <c r="AT1041" s="5"/>
      <c r="AU1041" s="5"/>
    </row>
    <row r="1042" spans="2:47" x14ac:dyDescent="0.15">
      <c r="B1042" s="23"/>
      <c r="C1042" s="23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Z1042" s="21"/>
      <c r="AP1042" s="5"/>
      <c r="AQ1042" s="5"/>
      <c r="AR1042" s="5"/>
      <c r="AS1042" s="5"/>
      <c r="AT1042" s="5"/>
      <c r="AU1042" s="5"/>
    </row>
    <row r="1043" spans="2:47" x14ac:dyDescent="0.15">
      <c r="B1043" s="23"/>
      <c r="C1043" s="23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Z1043" s="21"/>
      <c r="AP1043" s="5"/>
      <c r="AQ1043" s="5"/>
      <c r="AR1043" s="5"/>
      <c r="AS1043" s="5"/>
      <c r="AT1043" s="5"/>
      <c r="AU1043" s="5"/>
    </row>
    <row r="1044" spans="2:47" x14ac:dyDescent="0.15">
      <c r="B1044" s="23"/>
      <c r="C1044" s="23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Z1044" s="21"/>
      <c r="AP1044" s="5"/>
      <c r="AQ1044" s="5"/>
      <c r="AR1044" s="5"/>
      <c r="AS1044" s="5"/>
      <c r="AT1044" s="5"/>
      <c r="AU1044" s="5"/>
    </row>
    <row r="1045" spans="2:47" x14ac:dyDescent="0.15">
      <c r="B1045" s="23"/>
      <c r="C1045" s="23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Z1045" s="21"/>
      <c r="AP1045" s="5"/>
      <c r="AQ1045" s="5"/>
      <c r="AR1045" s="5"/>
      <c r="AS1045" s="5"/>
      <c r="AT1045" s="5"/>
      <c r="AU1045" s="5"/>
    </row>
    <row r="1046" spans="2:47" x14ac:dyDescent="0.15">
      <c r="B1046" s="23"/>
      <c r="C1046" s="23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Z1046" s="21"/>
      <c r="AP1046" s="5"/>
      <c r="AQ1046" s="5"/>
      <c r="AR1046" s="5"/>
      <c r="AS1046" s="5"/>
      <c r="AT1046" s="5"/>
      <c r="AU1046" s="5"/>
    </row>
    <row r="1047" spans="2:47" x14ac:dyDescent="0.15">
      <c r="B1047" s="23"/>
      <c r="C1047" s="23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Z1047" s="21"/>
      <c r="AP1047" s="5"/>
      <c r="AQ1047" s="5"/>
      <c r="AR1047" s="5"/>
      <c r="AS1047" s="5"/>
      <c r="AT1047" s="5"/>
      <c r="AU1047" s="5"/>
    </row>
    <row r="1048" spans="2:47" x14ac:dyDescent="0.15">
      <c r="B1048" s="23"/>
      <c r="C1048" s="23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Z1048" s="21"/>
      <c r="AP1048" s="5"/>
      <c r="AQ1048" s="5"/>
      <c r="AR1048" s="5"/>
      <c r="AS1048" s="5"/>
      <c r="AT1048" s="5"/>
      <c r="AU1048" s="5"/>
    </row>
    <row r="1049" spans="2:47" x14ac:dyDescent="0.15">
      <c r="B1049" s="23"/>
      <c r="C1049" s="23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Z1049" s="21"/>
      <c r="AP1049" s="5"/>
      <c r="AQ1049" s="5"/>
      <c r="AR1049" s="5"/>
      <c r="AS1049" s="5"/>
      <c r="AT1049" s="5"/>
      <c r="AU1049" s="5"/>
    </row>
    <row r="1050" spans="2:47" x14ac:dyDescent="0.15">
      <c r="B1050" s="23"/>
      <c r="C1050" s="23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Z1050" s="21"/>
      <c r="AP1050" s="5"/>
      <c r="AQ1050" s="5"/>
      <c r="AR1050" s="5"/>
      <c r="AS1050" s="5"/>
      <c r="AT1050" s="5"/>
      <c r="AU1050" s="5"/>
    </row>
    <row r="1051" spans="2:47" x14ac:dyDescent="0.15">
      <c r="B1051" s="23"/>
      <c r="C1051" s="23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Z1051" s="21"/>
      <c r="AP1051" s="5"/>
      <c r="AQ1051" s="5"/>
      <c r="AR1051" s="5"/>
      <c r="AS1051" s="5"/>
      <c r="AT1051" s="5"/>
      <c r="AU1051" s="5"/>
    </row>
    <row r="1052" spans="2:47" x14ac:dyDescent="0.15">
      <c r="B1052" s="23"/>
      <c r="C1052" s="23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Z1052" s="21"/>
      <c r="AP1052" s="5"/>
      <c r="AQ1052" s="5"/>
      <c r="AR1052" s="5"/>
      <c r="AS1052" s="5"/>
      <c r="AT1052" s="5"/>
      <c r="AU1052" s="5"/>
    </row>
    <row r="1053" spans="2:47" x14ac:dyDescent="0.15">
      <c r="B1053" s="23"/>
      <c r="C1053" s="23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Z1053" s="21"/>
      <c r="AP1053" s="5"/>
      <c r="AQ1053" s="5"/>
      <c r="AR1053" s="5"/>
      <c r="AS1053" s="5"/>
      <c r="AT1053" s="5"/>
      <c r="AU1053" s="5"/>
    </row>
    <row r="1054" spans="2:47" x14ac:dyDescent="0.15">
      <c r="B1054" s="23"/>
      <c r="C1054" s="23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Z1054" s="21"/>
      <c r="AP1054" s="5"/>
      <c r="AQ1054" s="5"/>
      <c r="AR1054" s="5"/>
      <c r="AS1054" s="5"/>
      <c r="AT1054" s="5"/>
      <c r="AU1054" s="5"/>
    </row>
    <row r="1055" spans="2:47" x14ac:dyDescent="0.15">
      <c r="B1055" s="23"/>
      <c r="C1055" s="23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Z1055" s="21"/>
      <c r="AP1055" s="5"/>
      <c r="AQ1055" s="5"/>
      <c r="AR1055" s="5"/>
      <c r="AS1055" s="5"/>
      <c r="AT1055" s="5"/>
      <c r="AU1055" s="5"/>
    </row>
    <row r="1056" spans="2:47" x14ac:dyDescent="0.15">
      <c r="B1056" s="23"/>
      <c r="C1056" s="23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Z1056" s="21"/>
      <c r="AP1056" s="5"/>
      <c r="AQ1056" s="5"/>
      <c r="AR1056" s="5"/>
      <c r="AS1056" s="5"/>
      <c r="AT1056" s="5"/>
      <c r="AU1056" s="5"/>
    </row>
    <row r="1057" spans="2:47" x14ac:dyDescent="0.15">
      <c r="B1057" s="23"/>
      <c r="C1057" s="23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Z1057" s="21"/>
      <c r="AP1057" s="5"/>
      <c r="AQ1057" s="5"/>
      <c r="AR1057" s="5"/>
      <c r="AS1057" s="5"/>
      <c r="AT1057" s="5"/>
      <c r="AU1057" s="5"/>
    </row>
    <row r="1058" spans="2:47" x14ac:dyDescent="0.15">
      <c r="B1058" s="23"/>
      <c r="C1058" s="23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Z1058" s="21"/>
      <c r="AP1058" s="5"/>
      <c r="AQ1058" s="5"/>
      <c r="AR1058" s="5"/>
      <c r="AS1058" s="5"/>
      <c r="AT1058" s="5"/>
      <c r="AU1058" s="5"/>
    </row>
    <row r="1059" spans="2:47" x14ac:dyDescent="0.15">
      <c r="B1059" s="23"/>
      <c r="C1059" s="23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Z1059" s="21"/>
      <c r="AP1059" s="5"/>
      <c r="AQ1059" s="5"/>
      <c r="AR1059" s="5"/>
      <c r="AS1059" s="5"/>
      <c r="AT1059" s="5"/>
      <c r="AU1059" s="5"/>
    </row>
    <row r="1060" spans="2:47" x14ac:dyDescent="0.15">
      <c r="B1060" s="23"/>
      <c r="C1060" s="23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Z1060" s="21"/>
      <c r="AP1060" s="5"/>
      <c r="AQ1060" s="5"/>
      <c r="AR1060" s="5"/>
      <c r="AS1060" s="5"/>
      <c r="AT1060" s="5"/>
      <c r="AU1060" s="5"/>
    </row>
    <row r="1061" spans="2:47" x14ac:dyDescent="0.15">
      <c r="B1061" s="23"/>
      <c r="C1061" s="23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Z1061" s="21"/>
      <c r="AP1061" s="5"/>
      <c r="AQ1061" s="5"/>
      <c r="AR1061" s="5"/>
      <c r="AS1061" s="5"/>
      <c r="AT1061" s="5"/>
      <c r="AU1061" s="5"/>
    </row>
    <row r="1062" spans="2:47" x14ac:dyDescent="0.15">
      <c r="B1062" s="23"/>
      <c r="C1062" s="23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Z1062" s="21"/>
      <c r="AP1062" s="5"/>
      <c r="AQ1062" s="5"/>
      <c r="AR1062" s="5"/>
      <c r="AS1062" s="5"/>
      <c r="AT1062" s="5"/>
      <c r="AU1062" s="5"/>
    </row>
    <row r="1063" spans="2:47" x14ac:dyDescent="0.15">
      <c r="B1063" s="23"/>
      <c r="C1063" s="23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Z1063" s="21"/>
      <c r="AP1063" s="5"/>
      <c r="AQ1063" s="5"/>
      <c r="AR1063" s="5"/>
      <c r="AS1063" s="5"/>
      <c r="AT1063" s="5"/>
      <c r="AU1063" s="5"/>
    </row>
    <row r="1064" spans="2:47" x14ac:dyDescent="0.15">
      <c r="B1064" s="23"/>
      <c r="C1064" s="23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Z1064" s="21"/>
      <c r="AP1064" s="5"/>
      <c r="AQ1064" s="5"/>
      <c r="AR1064" s="5"/>
      <c r="AS1064" s="5"/>
      <c r="AT1064" s="5"/>
      <c r="AU1064" s="5"/>
    </row>
    <row r="1065" spans="2:47" x14ac:dyDescent="0.15">
      <c r="B1065" s="23"/>
      <c r="C1065" s="23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Z1065" s="21"/>
      <c r="AP1065" s="5"/>
      <c r="AQ1065" s="5"/>
      <c r="AR1065" s="5"/>
      <c r="AS1065" s="5"/>
      <c r="AT1065" s="5"/>
      <c r="AU1065" s="5"/>
    </row>
    <row r="1066" spans="2:47" x14ac:dyDescent="0.15">
      <c r="B1066" s="23"/>
      <c r="C1066" s="23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Z1066" s="21"/>
      <c r="AP1066" s="5"/>
      <c r="AQ1066" s="5"/>
      <c r="AR1066" s="5"/>
      <c r="AS1066" s="5"/>
      <c r="AT1066" s="5"/>
      <c r="AU1066" s="5"/>
    </row>
    <row r="1067" spans="2:47" x14ac:dyDescent="0.15">
      <c r="B1067" s="23"/>
      <c r="C1067" s="23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Z1067" s="21"/>
      <c r="AP1067" s="5"/>
      <c r="AQ1067" s="5"/>
      <c r="AR1067" s="5"/>
      <c r="AS1067" s="5"/>
      <c r="AT1067" s="5"/>
      <c r="AU1067" s="5"/>
    </row>
    <row r="1068" spans="2:47" x14ac:dyDescent="0.15">
      <c r="B1068" s="23"/>
      <c r="C1068" s="23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Z1068" s="21"/>
      <c r="AP1068" s="5"/>
      <c r="AQ1068" s="5"/>
      <c r="AR1068" s="5"/>
      <c r="AS1068" s="5"/>
      <c r="AT1068" s="5"/>
      <c r="AU1068" s="5"/>
    </row>
    <row r="1069" spans="2:47" x14ac:dyDescent="0.15">
      <c r="B1069" s="23"/>
      <c r="C1069" s="23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Z1069" s="21"/>
      <c r="AP1069" s="5"/>
      <c r="AQ1069" s="5"/>
      <c r="AR1069" s="5"/>
      <c r="AS1069" s="5"/>
      <c r="AT1069" s="5"/>
      <c r="AU1069" s="5"/>
    </row>
    <row r="1070" spans="2:47" x14ac:dyDescent="0.15">
      <c r="B1070" s="23"/>
      <c r="C1070" s="23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Z1070" s="21"/>
      <c r="AP1070" s="5"/>
      <c r="AQ1070" s="5"/>
      <c r="AR1070" s="5"/>
      <c r="AS1070" s="5"/>
      <c r="AT1070" s="5"/>
      <c r="AU1070" s="5"/>
    </row>
    <row r="1071" spans="2:47" x14ac:dyDescent="0.15">
      <c r="B1071" s="23"/>
      <c r="C1071" s="23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Z1071" s="21"/>
      <c r="AP1071" s="5"/>
      <c r="AQ1071" s="5"/>
      <c r="AR1071" s="5"/>
      <c r="AS1071" s="5"/>
      <c r="AT1071" s="5"/>
      <c r="AU1071" s="5"/>
    </row>
    <row r="1072" spans="2:47" x14ac:dyDescent="0.15">
      <c r="B1072" s="23"/>
      <c r="C1072" s="23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Z1072" s="21"/>
      <c r="AP1072" s="5"/>
      <c r="AQ1072" s="5"/>
      <c r="AR1072" s="5"/>
      <c r="AS1072" s="5"/>
      <c r="AT1072" s="5"/>
      <c r="AU1072" s="5"/>
    </row>
    <row r="1073" spans="2:47" x14ac:dyDescent="0.15">
      <c r="B1073" s="23"/>
      <c r="C1073" s="23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Z1073" s="21"/>
      <c r="AP1073" s="5"/>
      <c r="AQ1073" s="5"/>
      <c r="AR1073" s="5"/>
      <c r="AS1073" s="5"/>
      <c r="AT1073" s="5"/>
      <c r="AU1073" s="5"/>
    </row>
    <row r="1074" spans="2:47" x14ac:dyDescent="0.15">
      <c r="B1074" s="23"/>
      <c r="C1074" s="23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Z1074" s="21"/>
      <c r="AP1074" s="5"/>
      <c r="AQ1074" s="5"/>
      <c r="AR1074" s="5"/>
      <c r="AS1074" s="5"/>
      <c r="AT1074" s="5"/>
      <c r="AU1074" s="5"/>
    </row>
    <row r="1075" spans="2:47" x14ac:dyDescent="0.15">
      <c r="B1075" s="23"/>
      <c r="C1075" s="23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Z1075" s="21"/>
      <c r="AP1075" s="5"/>
      <c r="AQ1075" s="5"/>
      <c r="AR1075" s="5"/>
      <c r="AS1075" s="5"/>
      <c r="AT1075" s="5"/>
      <c r="AU1075" s="5"/>
    </row>
    <row r="1076" spans="2:47" x14ac:dyDescent="0.15">
      <c r="B1076" s="23"/>
      <c r="C1076" s="23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Z1076" s="21"/>
      <c r="AP1076" s="5"/>
      <c r="AQ1076" s="5"/>
      <c r="AR1076" s="5"/>
      <c r="AS1076" s="5"/>
      <c r="AT1076" s="5"/>
      <c r="AU1076" s="5"/>
    </row>
    <row r="1077" spans="2:47" x14ac:dyDescent="0.15">
      <c r="B1077" s="23"/>
      <c r="C1077" s="23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Z1077" s="21"/>
      <c r="AP1077" s="5"/>
      <c r="AQ1077" s="5"/>
      <c r="AR1077" s="5"/>
      <c r="AS1077" s="5"/>
      <c r="AT1077" s="5"/>
      <c r="AU1077" s="5"/>
    </row>
    <row r="1078" spans="2:47" x14ac:dyDescent="0.15">
      <c r="B1078" s="23"/>
      <c r="C1078" s="23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Z1078" s="21"/>
      <c r="AP1078" s="5"/>
      <c r="AQ1078" s="5"/>
      <c r="AR1078" s="5"/>
      <c r="AS1078" s="5"/>
      <c r="AT1078" s="5"/>
      <c r="AU1078" s="5"/>
    </row>
    <row r="1079" spans="2:47" x14ac:dyDescent="0.15">
      <c r="B1079" s="23"/>
      <c r="C1079" s="23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Z1079" s="21"/>
      <c r="AP1079" s="5"/>
      <c r="AQ1079" s="5"/>
      <c r="AR1079" s="5"/>
      <c r="AS1079" s="5"/>
      <c r="AT1079" s="5"/>
      <c r="AU1079" s="5"/>
    </row>
    <row r="1080" spans="2:47" x14ac:dyDescent="0.15">
      <c r="B1080" s="23"/>
      <c r="C1080" s="23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Z1080" s="21"/>
      <c r="AP1080" s="5"/>
      <c r="AQ1080" s="5"/>
      <c r="AR1080" s="5"/>
      <c r="AS1080" s="5"/>
      <c r="AT1080" s="5"/>
      <c r="AU1080" s="5"/>
    </row>
    <row r="1081" spans="2:47" x14ac:dyDescent="0.15">
      <c r="B1081" s="23"/>
      <c r="C1081" s="23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Z1081" s="21"/>
      <c r="AP1081" s="5"/>
      <c r="AQ1081" s="5"/>
      <c r="AR1081" s="5"/>
      <c r="AS1081" s="5"/>
      <c r="AT1081" s="5"/>
      <c r="AU1081" s="5"/>
    </row>
    <row r="1082" spans="2:47" x14ac:dyDescent="0.15">
      <c r="B1082" s="23"/>
      <c r="C1082" s="23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Z1082" s="21"/>
      <c r="AP1082" s="5"/>
      <c r="AQ1082" s="5"/>
      <c r="AR1082" s="5"/>
      <c r="AS1082" s="5"/>
      <c r="AT1082" s="5"/>
      <c r="AU1082" s="5"/>
    </row>
    <row r="1083" spans="2:47" x14ac:dyDescent="0.15">
      <c r="B1083" s="23"/>
      <c r="C1083" s="23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Z1083" s="21"/>
      <c r="AP1083" s="5"/>
      <c r="AQ1083" s="5"/>
      <c r="AR1083" s="5"/>
      <c r="AS1083" s="5"/>
      <c r="AT1083" s="5"/>
      <c r="AU1083" s="5"/>
    </row>
    <row r="1084" spans="2:47" x14ac:dyDescent="0.15">
      <c r="B1084" s="23"/>
      <c r="C1084" s="23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Z1084" s="21"/>
      <c r="AP1084" s="5"/>
      <c r="AQ1084" s="5"/>
      <c r="AR1084" s="5"/>
      <c r="AS1084" s="5"/>
      <c r="AT1084" s="5"/>
      <c r="AU1084" s="5"/>
    </row>
    <row r="1085" spans="2:47" x14ac:dyDescent="0.15">
      <c r="B1085" s="23"/>
      <c r="C1085" s="23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Z1085" s="21"/>
      <c r="AP1085" s="5"/>
      <c r="AQ1085" s="5"/>
      <c r="AR1085" s="5"/>
      <c r="AS1085" s="5"/>
      <c r="AT1085" s="5"/>
      <c r="AU1085" s="5"/>
    </row>
    <row r="1086" spans="2:47" x14ac:dyDescent="0.15">
      <c r="B1086" s="23"/>
      <c r="C1086" s="23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Z1086" s="21"/>
      <c r="AP1086" s="5"/>
      <c r="AQ1086" s="5"/>
      <c r="AR1086" s="5"/>
      <c r="AS1086" s="5"/>
      <c r="AT1086" s="5"/>
      <c r="AU1086" s="5"/>
    </row>
    <row r="1087" spans="2:47" x14ac:dyDescent="0.15">
      <c r="B1087" s="23"/>
      <c r="C1087" s="23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Z1087" s="21"/>
      <c r="AP1087" s="5"/>
      <c r="AQ1087" s="5"/>
      <c r="AR1087" s="5"/>
      <c r="AS1087" s="5"/>
      <c r="AT1087" s="5"/>
      <c r="AU1087" s="5"/>
    </row>
    <row r="1088" spans="2:47" x14ac:dyDescent="0.15">
      <c r="B1088" s="23"/>
      <c r="C1088" s="23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Z1088" s="21"/>
      <c r="AP1088" s="5"/>
      <c r="AQ1088" s="5"/>
      <c r="AR1088" s="5"/>
      <c r="AS1088" s="5"/>
      <c r="AT1088" s="5"/>
      <c r="AU1088" s="5"/>
    </row>
    <row r="1089" spans="2:47" x14ac:dyDescent="0.15">
      <c r="B1089" s="23"/>
      <c r="C1089" s="23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Z1089" s="21"/>
      <c r="AP1089" s="5"/>
      <c r="AQ1089" s="5"/>
      <c r="AR1089" s="5"/>
      <c r="AS1089" s="5"/>
      <c r="AT1089" s="5"/>
      <c r="AU1089" s="5"/>
    </row>
    <row r="1090" spans="2:47" x14ac:dyDescent="0.15">
      <c r="B1090" s="23"/>
      <c r="C1090" s="23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Z1090" s="21"/>
      <c r="AP1090" s="5"/>
      <c r="AQ1090" s="5"/>
      <c r="AR1090" s="5"/>
      <c r="AS1090" s="5"/>
      <c r="AT1090" s="5"/>
      <c r="AU1090" s="5"/>
    </row>
    <row r="1091" spans="2:47" x14ac:dyDescent="0.15">
      <c r="B1091" s="23"/>
      <c r="C1091" s="23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Z1091" s="21"/>
      <c r="AP1091" s="5"/>
      <c r="AQ1091" s="5"/>
      <c r="AR1091" s="5"/>
      <c r="AS1091" s="5"/>
      <c r="AT1091" s="5"/>
      <c r="AU1091" s="5"/>
    </row>
    <row r="1092" spans="2:47" x14ac:dyDescent="0.15">
      <c r="B1092" s="23"/>
      <c r="C1092" s="23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Z1092" s="21"/>
      <c r="AP1092" s="5"/>
      <c r="AQ1092" s="5"/>
      <c r="AR1092" s="5"/>
      <c r="AS1092" s="5"/>
      <c r="AT1092" s="5"/>
      <c r="AU1092" s="5"/>
    </row>
    <row r="1093" spans="2:47" x14ac:dyDescent="0.15">
      <c r="B1093" s="23"/>
      <c r="C1093" s="23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Z1093" s="21"/>
      <c r="AP1093" s="5"/>
      <c r="AQ1093" s="5"/>
      <c r="AR1093" s="5"/>
      <c r="AS1093" s="5"/>
      <c r="AT1093" s="5"/>
      <c r="AU1093" s="5"/>
    </row>
    <row r="1094" spans="2:47" x14ac:dyDescent="0.15">
      <c r="B1094" s="23"/>
      <c r="C1094" s="23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Z1094" s="21"/>
      <c r="AP1094" s="5"/>
      <c r="AQ1094" s="5"/>
      <c r="AR1094" s="5"/>
      <c r="AS1094" s="5"/>
      <c r="AT1094" s="5"/>
      <c r="AU1094" s="5"/>
    </row>
    <row r="1095" spans="2:47" x14ac:dyDescent="0.15">
      <c r="B1095" s="23"/>
      <c r="C1095" s="23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Z1095" s="21"/>
      <c r="AP1095" s="5"/>
      <c r="AQ1095" s="5"/>
      <c r="AR1095" s="5"/>
      <c r="AS1095" s="5"/>
      <c r="AT1095" s="5"/>
      <c r="AU1095" s="5"/>
    </row>
    <row r="1096" spans="2:47" x14ac:dyDescent="0.15">
      <c r="B1096" s="23"/>
      <c r="C1096" s="23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Z1096" s="21"/>
      <c r="AP1096" s="5"/>
      <c r="AQ1096" s="5"/>
      <c r="AR1096" s="5"/>
      <c r="AS1096" s="5"/>
      <c r="AT1096" s="5"/>
      <c r="AU1096" s="5"/>
    </row>
    <row r="1097" spans="2:47" x14ac:dyDescent="0.15">
      <c r="B1097" s="23"/>
      <c r="C1097" s="23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Z1097" s="21"/>
      <c r="AP1097" s="5"/>
      <c r="AQ1097" s="5"/>
      <c r="AR1097" s="5"/>
      <c r="AS1097" s="5"/>
      <c r="AT1097" s="5"/>
      <c r="AU1097" s="5"/>
    </row>
    <row r="1098" spans="2:47" x14ac:dyDescent="0.15">
      <c r="B1098" s="23"/>
      <c r="C1098" s="23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Z1098" s="21"/>
      <c r="AP1098" s="5"/>
      <c r="AQ1098" s="5"/>
      <c r="AR1098" s="5"/>
      <c r="AS1098" s="5"/>
      <c r="AT1098" s="5"/>
      <c r="AU1098" s="5"/>
    </row>
    <row r="1099" spans="2:47" x14ac:dyDescent="0.15">
      <c r="B1099" s="23"/>
      <c r="C1099" s="23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Z1099" s="21"/>
      <c r="AP1099" s="5"/>
      <c r="AQ1099" s="5"/>
      <c r="AR1099" s="5"/>
      <c r="AS1099" s="5"/>
      <c r="AT1099" s="5"/>
      <c r="AU1099" s="5"/>
    </row>
    <row r="1100" spans="2:47" x14ac:dyDescent="0.15">
      <c r="B1100" s="23"/>
      <c r="C1100" s="23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Z1100" s="21"/>
      <c r="AP1100" s="5"/>
      <c r="AQ1100" s="5"/>
      <c r="AR1100" s="5"/>
      <c r="AS1100" s="5"/>
      <c r="AT1100" s="5"/>
      <c r="AU1100" s="5"/>
    </row>
    <row r="1101" spans="2:47" x14ac:dyDescent="0.15">
      <c r="B1101" s="23"/>
      <c r="C1101" s="23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Z1101" s="21"/>
      <c r="AP1101" s="5"/>
      <c r="AQ1101" s="5"/>
      <c r="AR1101" s="5"/>
      <c r="AS1101" s="5"/>
      <c r="AT1101" s="5"/>
      <c r="AU1101" s="5"/>
    </row>
    <row r="1102" spans="2:47" x14ac:dyDescent="0.15">
      <c r="B1102" s="23"/>
      <c r="C1102" s="23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Z1102" s="21"/>
      <c r="AP1102" s="5"/>
      <c r="AQ1102" s="5"/>
      <c r="AR1102" s="5"/>
      <c r="AS1102" s="5"/>
      <c r="AT1102" s="5"/>
      <c r="AU1102" s="5"/>
    </row>
    <row r="1103" spans="2:47" x14ac:dyDescent="0.15">
      <c r="B1103" s="23"/>
      <c r="C1103" s="23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Z1103" s="21"/>
      <c r="AP1103" s="5"/>
      <c r="AQ1103" s="5"/>
      <c r="AR1103" s="5"/>
      <c r="AS1103" s="5"/>
      <c r="AT1103" s="5"/>
      <c r="AU1103" s="5"/>
    </row>
    <row r="1104" spans="2:47" x14ac:dyDescent="0.15">
      <c r="B1104" s="23"/>
      <c r="C1104" s="23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Z1104" s="21"/>
      <c r="AP1104" s="5"/>
      <c r="AQ1104" s="5"/>
      <c r="AR1104" s="5"/>
      <c r="AS1104" s="5"/>
      <c r="AT1104" s="5"/>
      <c r="AU1104" s="5"/>
    </row>
    <row r="1105" spans="2:47" x14ac:dyDescent="0.15">
      <c r="B1105" s="23"/>
      <c r="C1105" s="23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Z1105" s="21"/>
      <c r="AP1105" s="5"/>
      <c r="AQ1105" s="5"/>
      <c r="AR1105" s="5"/>
      <c r="AS1105" s="5"/>
      <c r="AT1105" s="5"/>
      <c r="AU1105" s="5"/>
    </row>
    <row r="1106" spans="2:47" x14ac:dyDescent="0.15">
      <c r="B1106" s="23"/>
      <c r="C1106" s="23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Z1106" s="21"/>
      <c r="AP1106" s="5"/>
      <c r="AQ1106" s="5"/>
      <c r="AR1106" s="5"/>
      <c r="AS1106" s="5"/>
      <c r="AT1106" s="5"/>
      <c r="AU1106" s="5"/>
    </row>
    <row r="1107" spans="2:47" x14ac:dyDescent="0.15">
      <c r="B1107" s="23"/>
      <c r="C1107" s="23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Z1107" s="21"/>
      <c r="AP1107" s="5"/>
      <c r="AQ1107" s="5"/>
      <c r="AR1107" s="5"/>
      <c r="AS1107" s="5"/>
      <c r="AT1107" s="5"/>
      <c r="AU1107" s="5"/>
    </row>
    <row r="1108" spans="2:47" x14ac:dyDescent="0.15">
      <c r="B1108" s="23"/>
      <c r="C1108" s="23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Z1108" s="21"/>
      <c r="AP1108" s="5"/>
      <c r="AQ1108" s="5"/>
      <c r="AR1108" s="5"/>
      <c r="AS1108" s="5"/>
      <c r="AT1108" s="5"/>
      <c r="AU1108" s="5"/>
    </row>
    <row r="1109" spans="2:47" x14ac:dyDescent="0.15">
      <c r="B1109" s="23"/>
      <c r="C1109" s="23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Z1109" s="21"/>
      <c r="AP1109" s="5"/>
      <c r="AQ1109" s="5"/>
      <c r="AR1109" s="5"/>
      <c r="AS1109" s="5"/>
      <c r="AT1109" s="5"/>
      <c r="AU1109" s="5"/>
    </row>
    <row r="1110" spans="2:47" x14ac:dyDescent="0.15">
      <c r="B1110" s="23"/>
      <c r="C1110" s="23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Z1110" s="21"/>
      <c r="AP1110" s="5"/>
      <c r="AQ1110" s="5"/>
      <c r="AR1110" s="5"/>
      <c r="AS1110" s="5"/>
      <c r="AT1110" s="5"/>
      <c r="AU1110" s="5"/>
    </row>
    <row r="1111" spans="2:47" x14ac:dyDescent="0.15">
      <c r="B1111" s="23"/>
      <c r="C1111" s="23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Z1111" s="21"/>
      <c r="AP1111" s="5"/>
      <c r="AQ1111" s="5"/>
      <c r="AR1111" s="5"/>
      <c r="AS1111" s="5"/>
      <c r="AT1111" s="5"/>
      <c r="AU1111" s="5"/>
    </row>
    <row r="1112" spans="2:47" x14ac:dyDescent="0.15">
      <c r="B1112" s="23"/>
      <c r="C1112" s="23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Z1112" s="21"/>
      <c r="AP1112" s="5"/>
      <c r="AQ1112" s="5"/>
      <c r="AR1112" s="5"/>
      <c r="AS1112" s="5"/>
      <c r="AT1112" s="5"/>
      <c r="AU1112" s="5"/>
    </row>
    <row r="1113" spans="2:47" x14ac:dyDescent="0.15">
      <c r="B1113" s="23"/>
      <c r="C1113" s="23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Z1113" s="21"/>
      <c r="AP1113" s="5"/>
      <c r="AQ1113" s="5"/>
      <c r="AR1113" s="5"/>
      <c r="AS1113" s="5"/>
      <c r="AT1113" s="5"/>
      <c r="AU1113" s="5"/>
    </row>
    <row r="1114" spans="2:47" x14ac:dyDescent="0.15">
      <c r="B1114" s="23"/>
      <c r="C1114" s="23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Z1114" s="21"/>
      <c r="AP1114" s="5"/>
      <c r="AQ1114" s="5"/>
      <c r="AR1114" s="5"/>
      <c r="AS1114" s="5"/>
      <c r="AT1114" s="5"/>
      <c r="AU1114" s="5"/>
    </row>
    <row r="1115" spans="2:47" x14ac:dyDescent="0.15">
      <c r="B1115" s="23"/>
      <c r="C1115" s="23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Z1115" s="21"/>
      <c r="AP1115" s="5"/>
      <c r="AQ1115" s="5"/>
      <c r="AR1115" s="5"/>
      <c r="AS1115" s="5"/>
      <c r="AT1115" s="5"/>
      <c r="AU1115" s="5"/>
    </row>
    <row r="1116" spans="2:47" x14ac:dyDescent="0.15">
      <c r="B1116" s="23"/>
      <c r="C1116" s="23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Z1116" s="21"/>
      <c r="AP1116" s="5"/>
      <c r="AQ1116" s="5"/>
      <c r="AR1116" s="5"/>
      <c r="AS1116" s="5"/>
      <c r="AT1116" s="5"/>
      <c r="AU1116" s="5"/>
    </row>
    <row r="1117" spans="2:47" x14ac:dyDescent="0.15">
      <c r="B1117" s="23"/>
      <c r="C1117" s="23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Z1117" s="21"/>
      <c r="AP1117" s="5"/>
      <c r="AQ1117" s="5"/>
      <c r="AR1117" s="5"/>
      <c r="AS1117" s="5"/>
      <c r="AT1117" s="5"/>
      <c r="AU1117" s="5"/>
    </row>
    <row r="1118" spans="2:47" x14ac:dyDescent="0.15">
      <c r="B1118" s="23"/>
      <c r="C1118" s="23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Z1118" s="21"/>
      <c r="AP1118" s="5"/>
      <c r="AQ1118" s="5"/>
      <c r="AR1118" s="5"/>
      <c r="AS1118" s="5"/>
      <c r="AT1118" s="5"/>
      <c r="AU1118" s="5"/>
    </row>
    <row r="1119" spans="2:47" x14ac:dyDescent="0.15">
      <c r="B1119" s="23"/>
      <c r="C1119" s="23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Z1119" s="21"/>
      <c r="AP1119" s="5"/>
      <c r="AQ1119" s="5"/>
      <c r="AR1119" s="5"/>
      <c r="AS1119" s="5"/>
      <c r="AT1119" s="5"/>
      <c r="AU1119" s="5"/>
    </row>
    <row r="1120" spans="2:47" x14ac:dyDescent="0.15">
      <c r="B1120" s="23"/>
      <c r="C1120" s="23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Z1120" s="21"/>
      <c r="AP1120" s="5"/>
      <c r="AQ1120" s="5"/>
      <c r="AR1120" s="5"/>
      <c r="AS1120" s="5"/>
      <c r="AT1120" s="5"/>
      <c r="AU1120" s="5"/>
    </row>
    <row r="1121" spans="2:47" x14ac:dyDescent="0.15">
      <c r="B1121" s="23"/>
      <c r="C1121" s="23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Z1121" s="21"/>
      <c r="AP1121" s="5"/>
      <c r="AQ1121" s="5"/>
      <c r="AR1121" s="5"/>
      <c r="AS1121" s="5"/>
      <c r="AT1121" s="5"/>
      <c r="AU1121" s="5"/>
    </row>
    <row r="1122" spans="2:47" x14ac:dyDescent="0.15">
      <c r="B1122" s="23"/>
      <c r="C1122" s="23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Z1122" s="21"/>
      <c r="AP1122" s="5"/>
      <c r="AQ1122" s="5"/>
      <c r="AR1122" s="5"/>
      <c r="AS1122" s="5"/>
      <c r="AT1122" s="5"/>
      <c r="AU1122" s="5"/>
    </row>
    <row r="1123" spans="2:47" x14ac:dyDescent="0.15">
      <c r="B1123" s="23"/>
      <c r="C1123" s="23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Z1123" s="21"/>
      <c r="AP1123" s="5"/>
      <c r="AQ1123" s="5"/>
      <c r="AR1123" s="5"/>
      <c r="AS1123" s="5"/>
      <c r="AT1123" s="5"/>
      <c r="AU1123" s="5"/>
    </row>
    <row r="1124" spans="2:47" x14ac:dyDescent="0.15">
      <c r="B1124" s="23"/>
      <c r="C1124" s="23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Z1124" s="21"/>
      <c r="AP1124" s="5"/>
      <c r="AQ1124" s="5"/>
      <c r="AR1124" s="5"/>
      <c r="AS1124" s="5"/>
      <c r="AT1124" s="5"/>
      <c r="AU1124" s="5"/>
    </row>
    <row r="1125" spans="2:47" x14ac:dyDescent="0.15">
      <c r="B1125" s="23"/>
      <c r="C1125" s="23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Z1125" s="21"/>
      <c r="AP1125" s="5"/>
      <c r="AQ1125" s="5"/>
      <c r="AR1125" s="5"/>
      <c r="AS1125" s="5"/>
      <c r="AT1125" s="5"/>
      <c r="AU1125" s="5"/>
    </row>
    <row r="1126" spans="2:47" x14ac:dyDescent="0.15">
      <c r="B1126" s="23"/>
      <c r="C1126" s="23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Z1126" s="21"/>
      <c r="AP1126" s="5"/>
      <c r="AQ1126" s="5"/>
      <c r="AR1126" s="5"/>
      <c r="AS1126" s="5"/>
      <c r="AT1126" s="5"/>
      <c r="AU1126" s="5"/>
    </row>
    <row r="1127" spans="2:47" x14ac:dyDescent="0.15">
      <c r="B1127" s="23"/>
      <c r="C1127" s="23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Z1127" s="21"/>
      <c r="AP1127" s="5"/>
      <c r="AQ1127" s="5"/>
      <c r="AR1127" s="5"/>
      <c r="AS1127" s="5"/>
      <c r="AT1127" s="5"/>
      <c r="AU1127" s="5"/>
    </row>
    <row r="1128" spans="2:47" x14ac:dyDescent="0.15">
      <c r="B1128" s="23"/>
      <c r="C1128" s="23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Z1128" s="21"/>
      <c r="AP1128" s="5"/>
      <c r="AQ1128" s="5"/>
      <c r="AR1128" s="5"/>
      <c r="AS1128" s="5"/>
      <c r="AT1128" s="5"/>
      <c r="AU1128" s="5"/>
    </row>
    <row r="1129" spans="2:47" x14ac:dyDescent="0.15">
      <c r="B1129" s="23"/>
      <c r="C1129" s="23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Z1129" s="21"/>
      <c r="AP1129" s="5"/>
      <c r="AQ1129" s="5"/>
      <c r="AR1129" s="5"/>
      <c r="AS1129" s="5"/>
      <c r="AT1129" s="5"/>
      <c r="AU1129" s="5"/>
    </row>
    <row r="1130" spans="2:47" x14ac:dyDescent="0.15">
      <c r="B1130" s="23"/>
      <c r="C1130" s="23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Z1130" s="21"/>
      <c r="AP1130" s="5"/>
      <c r="AQ1130" s="5"/>
      <c r="AR1130" s="5"/>
      <c r="AS1130" s="5"/>
      <c r="AT1130" s="5"/>
      <c r="AU1130" s="5"/>
    </row>
    <row r="1131" spans="2:47" x14ac:dyDescent="0.15">
      <c r="B1131" s="23"/>
      <c r="C1131" s="23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Z1131" s="21"/>
      <c r="AP1131" s="5"/>
      <c r="AQ1131" s="5"/>
      <c r="AR1131" s="5"/>
      <c r="AS1131" s="5"/>
      <c r="AT1131" s="5"/>
      <c r="AU1131" s="5"/>
    </row>
    <row r="1132" spans="2:47" x14ac:dyDescent="0.15">
      <c r="B1132" s="23"/>
      <c r="C1132" s="23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Z1132" s="21"/>
      <c r="AP1132" s="5"/>
      <c r="AQ1132" s="5"/>
      <c r="AR1132" s="5"/>
      <c r="AS1132" s="5"/>
      <c r="AT1132" s="5"/>
      <c r="AU1132" s="5"/>
    </row>
    <row r="1133" spans="2:47" x14ac:dyDescent="0.15">
      <c r="B1133" s="23"/>
      <c r="C1133" s="23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Z1133" s="21"/>
      <c r="AP1133" s="5"/>
      <c r="AQ1133" s="5"/>
      <c r="AR1133" s="5"/>
      <c r="AS1133" s="5"/>
      <c r="AT1133" s="5"/>
      <c r="AU1133" s="5"/>
    </row>
    <row r="1134" spans="2:47" x14ac:dyDescent="0.15">
      <c r="B1134" s="23"/>
      <c r="C1134" s="23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Z1134" s="21"/>
      <c r="AP1134" s="5"/>
      <c r="AQ1134" s="5"/>
      <c r="AR1134" s="5"/>
      <c r="AS1134" s="5"/>
      <c r="AT1134" s="5"/>
      <c r="AU1134" s="5"/>
    </row>
    <row r="1135" spans="2:47" x14ac:dyDescent="0.15">
      <c r="B1135" s="23"/>
      <c r="C1135" s="23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Z1135" s="21"/>
      <c r="AP1135" s="5"/>
      <c r="AQ1135" s="5"/>
      <c r="AR1135" s="5"/>
      <c r="AS1135" s="5"/>
      <c r="AT1135" s="5"/>
      <c r="AU1135" s="5"/>
    </row>
    <row r="1136" spans="2:47" x14ac:dyDescent="0.15">
      <c r="B1136" s="23"/>
      <c r="C1136" s="23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Z1136" s="21"/>
      <c r="AP1136" s="5"/>
      <c r="AQ1136" s="5"/>
      <c r="AR1136" s="5"/>
      <c r="AS1136" s="5"/>
      <c r="AT1136" s="5"/>
      <c r="AU1136" s="5"/>
    </row>
    <row r="1137" spans="2:47" x14ac:dyDescent="0.15">
      <c r="B1137" s="23"/>
      <c r="C1137" s="23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Z1137" s="21"/>
      <c r="AP1137" s="5"/>
      <c r="AQ1137" s="5"/>
      <c r="AR1137" s="5"/>
      <c r="AS1137" s="5"/>
      <c r="AT1137" s="5"/>
      <c r="AU1137" s="5"/>
    </row>
    <row r="1138" spans="2:47" x14ac:dyDescent="0.15">
      <c r="B1138" s="23"/>
      <c r="C1138" s="23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Z1138" s="21"/>
      <c r="AP1138" s="5"/>
      <c r="AQ1138" s="5"/>
      <c r="AR1138" s="5"/>
      <c r="AS1138" s="5"/>
      <c r="AT1138" s="5"/>
      <c r="AU1138" s="5"/>
    </row>
    <row r="1139" spans="2:47" x14ac:dyDescent="0.15">
      <c r="B1139" s="23"/>
      <c r="C1139" s="23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Z1139" s="21"/>
      <c r="AP1139" s="5"/>
      <c r="AQ1139" s="5"/>
      <c r="AR1139" s="5"/>
      <c r="AS1139" s="5"/>
      <c r="AT1139" s="5"/>
      <c r="AU1139" s="5"/>
    </row>
    <row r="1140" spans="2:47" x14ac:dyDescent="0.15">
      <c r="B1140" s="23"/>
      <c r="C1140" s="23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Z1140" s="21"/>
      <c r="AP1140" s="5"/>
      <c r="AQ1140" s="5"/>
      <c r="AR1140" s="5"/>
      <c r="AS1140" s="5"/>
      <c r="AT1140" s="5"/>
      <c r="AU1140" s="5"/>
    </row>
    <row r="1141" spans="2:47" x14ac:dyDescent="0.15">
      <c r="B1141" s="23"/>
      <c r="C1141" s="23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Z1141" s="21"/>
      <c r="AP1141" s="5"/>
      <c r="AQ1141" s="5"/>
      <c r="AR1141" s="5"/>
      <c r="AS1141" s="5"/>
      <c r="AT1141" s="5"/>
      <c r="AU1141" s="5"/>
    </row>
    <row r="1142" spans="2:47" x14ac:dyDescent="0.15">
      <c r="B1142" s="23"/>
      <c r="C1142" s="23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Z1142" s="21"/>
      <c r="AP1142" s="5"/>
      <c r="AQ1142" s="5"/>
      <c r="AR1142" s="5"/>
      <c r="AS1142" s="5"/>
      <c r="AT1142" s="5"/>
      <c r="AU1142" s="5"/>
    </row>
    <row r="1143" spans="2:47" x14ac:dyDescent="0.15">
      <c r="B1143" s="23"/>
      <c r="C1143" s="23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Z1143" s="21"/>
      <c r="AP1143" s="5"/>
      <c r="AQ1143" s="5"/>
      <c r="AR1143" s="5"/>
      <c r="AS1143" s="5"/>
      <c r="AT1143" s="5"/>
      <c r="AU1143" s="5"/>
    </row>
    <row r="1144" spans="2:47" x14ac:dyDescent="0.15">
      <c r="B1144" s="23"/>
      <c r="C1144" s="23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Z1144" s="21"/>
      <c r="AP1144" s="5"/>
      <c r="AQ1144" s="5"/>
      <c r="AR1144" s="5"/>
      <c r="AS1144" s="5"/>
      <c r="AT1144" s="5"/>
      <c r="AU1144" s="5"/>
    </row>
    <row r="1145" spans="2:47" x14ac:dyDescent="0.15">
      <c r="B1145" s="23"/>
      <c r="C1145" s="23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Z1145" s="21"/>
      <c r="AP1145" s="5"/>
      <c r="AQ1145" s="5"/>
      <c r="AR1145" s="5"/>
      <c r="AS1145" s="5"/>
      <c r="AT1145" s="5"/>
      <c r="AU1145" s="5"/>
    </row>
    <row r="1146" spans="2:47" x14ac:dyDescent="0.15">
      <c r="B1146" s="23"/>
      <c r="C1146" s="23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AP1146" s="5"/>
      <c r="AQ1146" s="5"/>
      <c r="AR1146" s="5"/>
      <c r="AS1146" s="5"/>
      <c r="AT1146" s="5"/>
      <c r="AU1146" s="5"/>
    </row>
    <row r="1147" spans="2:47" x14ac:dyDescent="0.15">
      <c r="B1147" s="23"/>
      <c r="C1147" s="23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AP1147" s="5"/>
      <c r="AQ1147" s="5"/>
      <c r="AR1147" s="5"/>
      <c r="AS1147" s="5"/>
      <c r="AT1147" s="5"/>
      <c r="AU1147" s="5"/>
    </row>
    <row r="1148" spans="2:47" x14ac:dyDescent="0.15">
      <c r="B1148" s="23"/>
      <c r="C1148" s="23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AP1148" s="5"/>
      <c r="AQ1148" s="5"/>
      <c r="AR1148" s="5"/>
      <c r="AS1148" s="5"/>
      <c r="AT1148" s="5"/>
      <c r="AU1148" s="5"/>
    </row>
    <row r="1149" spans="2:47" x14ac:dyDescent="0.15">
      <c r="B1149" s="23"/>
      <c r="C1149" s="23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AP1149" s="5"/>
      <c r="AQ1149" s="5"/>
      <c r="AR1149" s="5"/>
      <c r="AS1149" s="5"/>
      <c r="AT1149" s="5"/>
      <c r="AU1149" s="5"/>
    </row>
    <row r="1150" spans="2:47" x14ac:dyDescent="0.15">
      <c r="B1150" s="23"/>
      <c r="C1150" s="23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AP1150" s="5"/>
      <c r="AQ1150" s="5"/>
      <c r="AR1150" s="5"/>
      <c r="AS1150" s="5"/>
      <c r="AT1150" s="5"/>
      <c r="AU1150" s="5"/>
    </row>
    <row r="1151" spans="2:47" x14ac:dyDescent="0.15">
      <c r="B1151" s="23"/>
      <c r="C1151" s="23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AP1151" s="5"/>
      <c r="AQ1151" s="5"/>
      <c r="AR1151" s="5"/>
      <c r="AS1151" s="5"/>
      <c r="AT1151" s="5"/>
      <c r="AU1151" s="5"/>
    </row>
    <row r="1152" spans="2:47" x14ac:dyDescent="0.15">
      <c r="B1152" s="23"/>
      <c r="C1152" s="23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AP1152" s="5"/>
      <c r="AQ1152" s="5"/>
      <c r="AR1152" s="5"/>
      <c r="AS1152" s="5"/>
      <c r="AT1152" s="5"/>
      <c r="AU1152" s="5"/>
    </row>
    <row r="1153" spans="2:47" x14ac:dyDescent="0.15">
      <c r="B1153" s="23"/>
      <c r="C1153" s="23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AP1153" s="5"/>
      <c r="AQ1153" s="5"/>
      <c r="AR1153" s="5"/>
      <c r="AS1153" s="5"/>
      <c r="AT1153" s="5"/>
      <c r="AU1153" s="5"/>
    </row>
    <row r="1154" spans="2:47" x14ac:dyDescent="0.15">
      <c r="B1154" s="23"/>
      <c r="C1154" s="23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AP1154" s="5"/>
      <c r="AQ1154" s="5"/>
      <c r="AR1154" s="5"/>
      <c r="AS1154" s="5"/>
      <c r="AT1154" s="5"/>
      <c r="AU1154" s="5"/>
    </row>
    <row r="1155" spans="2:47" x14ac:dyDescent="0.15">
      <c r="B1155" s="23"/>
      <c r="C1155" s="23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AP1155" s="5"/>
      <c r="AQ1155" s="5"/>
      <c r="AR1155" s="5"/>
      <c r="AS1155" s="5"/>
      <c r="AT1155" s="5"/>
      <c r="AU1155" s="5"/>
    </row>
    <row r="1156" spans="2:47" x14ac:dyDescent="0.15">
      <c r="B1156" s="23"/>
      <c r="C1156" s="23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AP1156" s="5"/>
      <c r="AQ1156" s="5"/>
      <c r="AR1156" s="5"/>
      <c r="AS1156" s="5"/>
      <c r="AT1156" s="5"/>
      <c r="AU1156" s="5"/>
    </row>
    <row r="1157" spans="2:47" x14ac:dyDescent="0.15">
      <c r="B1157" s="23"/>
      <c r="C1157" s="23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AP1157" s="5"/>
      <c r="AQ1157" s="5"/>
      <c r="AR1157" s="5"/>
      <c r="AS1157" s="5"/>
      <c r="AT1157" s="5"/>
      <c r="AU1157" s="5"/>
    </row>
    <row r="1158" spans="2:47" x14ac:dyDescent="0.15">
      <c r="B1158" s="23"/>
      <c r="C1158" s="23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AP1158" s="5"/>
      <c r="AQ1158" s="5"/>
      <c r="AR1158" s="5"/>
      <c r="AS1158" s="5"/>
      <c r="AT1158" s="5"/>
      <c r="AU1158" s="5"/>
    </row>
    <row r="1159" spans="2:47" x14ac:dyDescent="0.15">
      <c r="B1159" s="23"/>
      <c r="C1159" s="23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AP1159" s="5"/>
      <c r="AQ1159" s="5"/>
      <c r="AR1159" s="5"/>
      <c r="AS1159" s="5"/>
      <c r="AT1159" s="5"/>
      <c r="AU1159" s="5"/>
    </row>
    <row r="1160" spans="2:47" x14ac:dyDescent="0.15">
      <c r="B1160" s="23"/>
      <c r="C1160" s="23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AP1160" s="5"/>
      <c r="AQ1160" s="5"/>
      <c r="AR1160" s="5"/>
      <c r="AS1160" s="5"/>
      <c r="AT1160" s="5"/>
      <c r="AU1160" s="5"/>
    </row>
    <row r="1161" spans="2:47" x14ac:dyDescent="0.15">
      <c r="B1161" s="23"/>
      <c r="C1161" s="23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AP1161" s="5"/>
      <c r="AQ1161" s="5"/>
      <c r="AR1161" s="5"/>
      <c r="AS1161" s="5"/>
      <c r="AT1161" s="5"/>
      <c r="AU1161" s="5"/>
    </row>
    <row r="1162" spans="2:47" x14ac:dyDescent="0.15">
      <c r="B1162" s="23"/>
      <c r="C1162" s="23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AP1162" s="5"/>
      <c r="AQ1162" s="5"/>
      <c r="AR1162" s="5"/>
      <c r="AS1162" s="5"/>
      <c r="AT1162" s="5"/>
      <c r="AU1162" s="5"/>
    </row>
    <row r="1163" spans="2:47" x14ac:dyDescent="0.15">
      <c r="B1163" s="23"/>
      <c r="C1163" s="23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AP1163" s="5"/>
      <c r="AQ1163" s="5"/>
      <c r="AR1163" s="5"/>
      <c r="AS1163" s="5"/>
      <c r="AT1163" s="5"/>
      <c r="AU1163" s="5"/>
    </row>
    <row r="1164" spans="2:47" x14ac:dyDescent="0.15">
      <c r="B1164" s="23"/>
      <c r="C1164" s="23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AP1164" s="5"/>
      <c r="AQ1164" s="5"/>
      <c r="AR1164" s="5"/>
      <c r="AS1164" s="5"/>
      <c r="AT1164" s="5"/>
      <c r="AU1164" s="5"/>
    </row>
    <row r="1165" spans="2:47" x14ac:dyDescent="0.15">
      <c r="B1165" s="23"/>
      <c r="C1165" s="23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AP1165" s="5"/>
      <c r="AQ1165" s="5"/>
      <c r="AR1165" s="5"/>
      <c r="AS1165" s="5"/>
      <c r="AT1165" s="5"/>
      <c r="AU1165" s="5"/>
    </row>
    <row r="1166" spans="2:47" x14ac:dyDescent="0.15">
      <c r="B1166" s="23"/>
      <c r="C1166" s="23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AP1166" s="5"/>
      <c r="AQ1166" s="5"/>
      <c r="AR1166" s="5"/>
      <c r="AS1166" s="5"/>
      <c r="AT1166" s="5"/>
      <c r="AU1166" s="5"/>
    </row>
    <row r="1167" spans="2:47" x14ac:dyDescent="0.15">
      <c r="B1167" s="23"/>
      <c r="C1167" s="23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AP1167" s="5"/>
      <c r="AQ1167" s="5"/>
      <c r="AR1167" s="5"/>
      <c r="AS1167" s="5"/>
      <c r="AT1167" s="5"/>
      <c r="AU1167" s="5"/>
    </row>
    <row r="1168" spans="2:47" x14ac:dyDescent="0.15">
      <c r="B1168" s="23"/>
      <c r="C1168" s="23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AP1168" s="5"/>
      <c r="AQ1168" s="5"/>
      <c r="AR1168" s="5"/>
      <c r="AS1168" s="5"/>
      <c r="AT1168" s="5"/>
      <c r="AU1168" s="5"/>
    </row>
    <row r="1169" spans="2:47" x14ac:dyDescent="0.15">
      <c r="B1169" s="23"/>
      <c r="C1169" s="23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AP1169" s="5"/>
      <c r="AQ1169" s="5"/>
      <c r="AR1169" s="5"/>
      <c r="AS1169" s="5"/>
      <c r="AT1169" s="5"/>
      <c r="AU1169" s="5"/>
    </row>
    <row r="1170" spans="2:47" x14ac:dyDescent="0.15">
      <c r="B1170" s="23"/>
      <c r="C1170" s="23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AP1170" s="5"/>
      <c r="AQ1170" s="5"/>
      <c r="AR1170" s="5"/>
      <c r="AS1170" s="5"/>
      <c r="AT1170" s="5"/>
      <c r="AU1170" s="5"/>
    </row>
    <row r="1171" spans="2:47" x14ac:dyDescent="0.15">
      <c r="B1171" s="23"/>
      <c r="C1171" s="23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AP1171" s="5"/>
      <c r="AQ1171" s="5"/>
      <c r="AR1171" s="5"/>
      <c r="AS1171" s="5"/>
      <c r="AT1171" s="5"/>
      <c r="AU1171" s="5"/>
    </row>
    <row r="1172" spans="2:47" x14ac:dyDescent="0.15">
      <c r="B1172" s="23"/>
      <c r="C1172" s="23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AP1172" s="5"/>
      <c r="AQ1172" s="5"/>
      <c r="AR1172" s="5"/>
      <c r="AS1172" s="5"/>
      <c r="AT1172" s="5"/>
      <c r="AU1172" s="5"/>
    </row>
    <row r="1173" spans="2:47" x14ac:dyDescent="0.15">
      <c r="B1173" s="23"/>
      <c r="C1173" s="23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AP1173" s="5"/>
      <c r="AQ1173" s="5"/>
      <c r="AR1173" s="5"/>
      <c r="AS1173" s="5"/>
      <c r="AT1173" s="5"/>
      <c r="AU1173" s="5"/>
    </row>
    <row r="1174" spans="2:47" x14ac:dyDescent="0.15">
      <c r="B1174" s="23"/>
      <c r="C1174" s="23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AP1174" s="5"/>
      <c r="AQ1174" s="5"/>
      <c r="AR1174" s="5"/>
      <c r="AS1174" s="5"/>
      <c r="AT1174" s="5"/>
      <c r="AU1174" s="5"/>
    </row>
    <row r="1175" spans="2:47" x14ac:dyDescent="0.15">
      <c r="B1175" s="23"/>
      <c r="C1175" s="23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AP1175" s="5"/>
      <c r="AQ1175" s="5"/>
      <c r="AR1175" s="5"/>
      <c r="AS1175" s="5"/>
      <c r="AT1175" s="5"/>
      <c r="AU1175" s="5"/>
    </row>
    <row r="1176" spans="2:47" x14ac:dyDescent="0.15">
      <c r="B1176" s="23"/>
      <c r="C1176" s="23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AP1176" s="5"/>
      <c r="AQ1176" s="5"/>
      <c r="AR1176" s="5"/>
      <c r="AS1176" s="5"/>
      <c r="AT1176" s="5"/>
      <c r="AU1176" s="5"/>
    </row>
    <row r="1177" spans="2:47" x14ac:dyDescent="0.15">
      <c r="B1177" s="23"/>
      <c r="C1177" s="23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AP1177" s="5"/>
      <c r="AQ1177" s="5"/>
      <c r="AR1177" s="5"/>
      <c r="AS1177" s="5"/>
      <c r="AT1177" s="5"/>
      <c r="AU1177" s="5"/>
    </row>
    <row r="1178" spans="2:47" x14ac:dyDescent="0.15">
      <c r="B1178" s="23"/>
      <c r="C1178" s="23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AP1178" s="5"/>
      <c r="AQ1178" s="5"/>
      <c r="AR1178" s="5"/>
      <c r="AS1178" s="5"/>
      <c r="AT1178" s="5"/>
      <c r="AU1178" s="5"/>
    </row>
    <row r="1179" spans="2:47" x14ac:dyDescent="0.15">
      <c r="B1179" s="23"/>
      <c r="C1179" s="23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AP1179" s="5"/>
      <c r="AQ1179" s="5"/>
      <c r="AR1179" s="5"/>
      <c r="AS1179" s="5"/>
      <c r="AT1179" s="5"/>
      <c r="AU1179" s="5"/>
    </row>
    <row r="1180" spans="2:47" x14ac:dyDescent="0.15">
      <c r="B1180" s="23"/>
      <c r="C1180" s="23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AP1180" s="5"/>
      <c r="AQ1180" s="5"/>
      <c r="AR1180" s="5"/>
      <c r="AS1180" s="5"/>
      <c r="AT1180" s="5"/>
      <c r="AU1180" s="5"/>
    </row>
    <row r="1181" spans="2:47" x14ac:dyDescent="0.15">
      <c r="B1181" s="23"/>
      <c r="C1181" s="23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AP1181" s="5"/>
      <c r="AQ1181" s="5"/>
      <c r="AR1181" s="5"/>
      <c r="AS1181" s="5"/>
      <c r="AT1181" s="5"/>
      <c r="AU1181" s="5"/>
    </row>
    <row r="1182" spans="2:47" x14ac:dyDescent="0.15">
      <c r="B1182" s="23"/>
      <c r="C1182" s="23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AP1182" s="5"/>
      <c r="AQ1182" s="5"/>
      <c r="AR1182" s="5"/>
      <c r="AS1182" s="5"/>
      <c r="AT1182" s="5"/>
      <c r="AU1182" s="5"/>
    </row>
    <row r="1183" spans="2:47" x14ac:dyDescent="0.15">
      <c r="B1183" s="23"/>
      <c r="C1183" s="23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AP1183" s="5"/>
      <c r="AQ1183" s="5"/>
      <c r="AR1183" s="5"/>
      <c r="AS1183" s="5"/>
      <c r="AT1183" s="5"/>
      <c r="AU1183" s="5"/>
    </row>
    <row r="1184" spans="2:47" x14ac:dyDescent="0.15">
      <c r="B1184" s="23"/>
      <c r="C1184" s="23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AP1184" s="5"/>
      <c r="AQ1184" s="5"/>
      <c r="AR1184" s="5"/>
      <c r="AS1184" s="5"/>
      <c r="AT1184" s="5"/>
      <c r="AU1184" s="5"/>
    </row>
    <row r="1185" spans="2:47" x14ac:dyDescent="0.15">
      <c r="B1185" s="23"/>
      <c r="C1185" s="23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AP1185" s="5"/>
      <c r="AQ1185" s="5"/>
      <c r="AR1185" s="5"/>
      <c r="AS1185" s="5"/>
      <c r="AT1185" s="5"/>
      <c r="AU1185" s="5"/>
    </row>
    <row r="1186" spans="2:47" x14ac:dyDescent="0.15">
      <c r="B1186" s="23"/>
      <c r="C1186" s="23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AP1186" s="5"/>
      <c r="AQ1186" s="5"/>
      <c r="AR1186" s="5"/>
      <c r="AS1186" s="5"/>
      <c r="AT1186" s="5"/>
      <c r="AU1186" s="5"/>
    </row>
    <row r="1187" spans="2:47" x14ac:dyDescent="0.15">
      <c r="B1187" s="23"/>
      <c r="C1187" s="23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AP1187" s="5"/>
      <c r="AQ1187" s="5"/>
      <c r="AR1187" s="5"/>
      <c r="AS1187" s="5"/>
      <c r="AT1187" s="5"/>
      <c r="AU1187" s="5"/>
    </row>
    <row r="1188" spans="2:47" x14ac:dyDescent="0.15">
      <c r="B1188" s="23"/>
      <c r="C1188" s="23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AP1188" s="5"/>
      <c r="AQ1188" s="5"/>
      <c r="AR1188" s="5"/>
      <c r="AS1188" s="5"/>
      <c r="AT1188" s="5"/>
      <c r="AU1188" s="5"/>
    </row>
    <row r="1189" spans="2:47" x14ac:dyDescent="0.15">
      <c r="B1189" s="23"/>
      <c r="C1189" s="23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AP1189" s="5"/>
      <c r="AQ1189" s="5"/>
      <c r="AR1189" s="5"/>
      <c r="AS1189" s="5"/>
      <c r="AT1189" s="5"/>
      <c r="AU1189" s="5"/>
    </row>
    <row r="1190" spans="2:47" x14ac:dyDescent="0.15">
      <c r="B1190" s="23"/>
      <c r="C1190" s="23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AP1190" s="5"/>
      <c r="AQ1190" s="5"/>
      <c r="AR1190" s="5"/>
      <c r="AS1190" s="5"/>
      <c r="AT1190" s="5"/>
      <c r="AU1190" s="5"/>
    </row>
    <row r="1191" spans="2:47" x14ac:dyDescent="0.15">
      <c r="B1191" s="23"/>
      <c r="C1191" s="23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AP1191" s="5"/>
      <c r="AQ1191" s="5"/>
      <c r="AR1191" s="5"/>
      <c r="AS1191" s="5"/>
      <c r="AT1191" s="5"/>
      <c r="AU1191" s="5"/>
    </row>
    <row r="1192" spans="2:47" x14ac:dyDescent="0.15">
      <c r="B1192" s="23"/>
      <c r="C1192" s="23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AP1192" s="5"/>
      <c r="AQ1192" s="5"/>
      <c r="AR1192" s="5"/>
      <c r="AS1192" s="5"/>
      <c r="AT1192" s="5"/>
      <c r="AU1192" s="5"/>
    </row>
    <row r="1193" spans="2:47" x14ac:dyDescent="0.15">
      <c r="B1193" s="23"/>
      <c r="C1193" s="23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AP1193" s="5"/>
      <c r="AQ1193" s="5"/>
      <c r="AR1193" s="5"/>
      <c r="AS1193" s="5"/>
      <c r="AT1193" s="5"/>
      <c r="AU1193" s="5"/>
    </row>
    <row r="1194" spans="2:47" x14ac:dyDescent="0.15">
      <c r="B1194" s="23"/>
      <c r="C1194" s="23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AP1194" s="5"/>
      <c r="AQ1194" s="5"/>
      <c r="AR1194" s="5"/>
      <c r="AS1194" s="5"/>
      <c r="AT1194" s="5"/>
      <c r="AU1194" s="5"/>
    </row>
    <row r="1195" spans="2:47" x14ac:dyDescent="0.15">
      <c r="B1195" s="23"/>
      <c r="C1195" s="23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AP1195" s="5"/>
      <c r="AQ1195" s="5"/>
      <c r="AR1195" s="5"/>
      <c r="AS1195" s="5"/>
      <c r="AT1195" s="5"/>
      <c r="AU1195" s="5"/>
    </row>
    <row r="1196" spans="2:47" x14ac:dyDescent="0.15">
      <c r="B1196" s="23"/>
      <c r="C1196" s="23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AP1196" s="5"/>
      <c r="AQ1196" s="5"/>
      <c r="AR1196" s="5"/>
      <c r="AS1196" s="5"/>
      <c r="AT1196" s="5"/>
      <c r="AU1196" s="5"/>
    </row>
    <row r="1197" spans="2:47" x14ac:dyDescent="0.15">
      <c r="B1197" s="23"/>
      <c r="C1197" s="23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AP1197" s="5"/>
      <c r="AQ1197" s="5"/>
      <c r="AR1197" s="5"/>
      <c r="AS1197" s="5"/>
      <c r="AT1197" s="5"/>
      <c r="AU1197" s="5"/>
    </row>
    <row r="1198" spans="2:47" x14ac:dyDescent="0.15">
      <c r="B1198" s="23"/>
      <c r="C1198" s="23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AP1198" s="5"/>
      <c r="AQ1198" s="5"/>
      <c r="AR1198" s="5"/>
      <c r="AS1198" s="5"/>
      <c r="AT1198" s="5"/>
      <c r="AU1198" s="5"/>
    </row>
    <row r="1199" spans="2:47" x14ac:dyDescent="0.15">
      <c r="B1199" s="23"/>
      <c r="C1199" s="23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AP1199" s="5"/>
      <c r="AQ1199" s="5"/>
      <c r="AR1199" s="5"/>
      <c r="AS1199" s="5"/>
      <c r="AT1199" s="5"/>
      <c r="AU1199" s="5"/>
    </row>
    <row r="1200" spans="2:47" x14ac:dyDescent="0.15">
      <c r="B1200" s="23"/>
      <c r="C1200" s="23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AP1200" s="5"/>
      <c r="AQ1200" s="5"/>
      <c r="AR1200" s="5"/>
      <c r="AS1200" s="5"/>
      <c r="AT1200" s="5"/>
      <c r="AU1200" s="5"/>
    </row>
    <row r="1201" spans="2:47" x14ac:dyDescent="0.15">
      <c r="B1201" s="23"/>
      <c r="C1201" s="23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AP1201" s="5"/>
      <c r="AQ1201" s="5"/>
      <c r="AR1201" s="5"/>
      <c r="AS1201" s="5"/>
      <c r="AT1201" s="5"/>
      <c r="AU1201" s="5"/>
    </row>
    <row r="1202" spans="2:47" x14ac:dyDescent="0.15">
      <c r="B1202" s="23"/>
      <c r="C1202" s="23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AP1202" s="5"/>
      <c r="AQ1202" s="5"/>
      <c r="AR1202" s="5"/>
      <c r="AS1202" s="5"/>
      <c r="AT1202" s="5"/>
      <c r="AU1202" s="5"/>
    </row>
    <row r="1203" spans="2:47" x14ac:dyDescent="0.15">
      <c r="B1203" s="23"/>
      <c r="C1203" s="23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AP1203" s="5"/>
      <c r="AQ1203" s="5"/>
      <c r="AR1203" s="5"/>
      <c r="AS1203" s="5"/>
      <c r="AT1203" s="5"/>
      <c r="AU1203" s="5"/>
    </row>
    <row r="1204" spans="2:47" x14ac:dyDescent="0.15">
      <c r="B1204" s="23"/>
      <c r="C1204" s="23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AP1204" s="5"/>
      <c r="AQ1204" s="5"/>
      <c r="AR1204" s="5"/>
      <c r="AS1204" s="5"/>
      <c r="AT1204" s="5"/>
      <c r="AU1204" s="5"/>
    </row>
    <row r="1205" spans="2:47" x14ac:dyDescent="0.15">
      <c r="B1205" s="23"/>
      <c r="C1205" s="23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AP1205" s="5"/>
      <c r="AQ1205" s="5"/>
      <c r="AR1205" s="5"/>
      <c r="AS1205" s="5"/>
      <c r="AT1205" s="5"/>
      <c r="AU1205" s="5"/>
    </row>
    <row r="1206" spans="2:47" x14ac:dyDescent="0.15">
      <c r="B1206" s="23"/>
      <c r="C1206" s="23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AP1206" s="5"/>
      <c r="AQ1206" s="5"/>
      <c r="AR1206" s="5"/>
      <c r="AS1206" s="5"/>
      <c r="AT1206" s="5"/>
      <c r="AU1206" s="5"/>
    </row>
    <row r="1207" spans="2:47" x14ac:dyDescent="0.15">
      <c r="B1207" s="23"/>
      <c r="C1207" s="23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AP1207" s="5"/>
      <c r="AQ1207" s="5"/>
      <c r="AR1207" s="5"/>
      <c r="AS1207" s="5"/>
      <c r="AT1207" s="5"/>
      <c r="AU1207" s="5"/>
    </row>
    <row r="1208" spans="2:47" x14ac:dyDescent="0.15">
      <c r="B1208" s="23"/>
      <c r="C1208" s="23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AP1208" s="5"/>
      <c r="AQ1208" s="5"/>
      <c r="AR1208" s="5"/>
      <c r="AS1208" s="5"/>
      <c r="AT1208" s="5"/>
      <c r="AU1208" s="5"/>
    </row>
    <row r="1209" spans="2:47" x14ac:dyDescent="0.15">
      <c r="B1209" s="23"/>
      <c r="C1209" s="23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AP1209" s="5"/>
      <c r="AQ1209" s="5"/>
      <c r="AR1209" s="5"/>
      <c r="AS1209" s="5"/>
      <c r="AT1209" s="5"/>
      <c r="AU1209" s="5"/>
    </row>
    <row r="1210" spans="2:47" x14ac:dyDescent="0.15">
      <c r="B1210" s="23"/>
      <c r="C1210" s="23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AP1210" s="5"/>
      <c r="AQ1210" s="5"/>
      <c r="AR1210" s="5"/>
      <c r="AS1210" s="5"/>
      <c r="AT1210" s="5"/>
      <c r="AU1210" s="5"/>
    </row>
    <row r="1211" spans="2:47" x14ac:dyDescent="0.15">
      <c r="B1211" s="23"/>
      <c r="C1211" s="23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AP1211" s="5"/>
      <c r="AQ1211" s="5"/>
      <c r="AR1211" s="5"/>
      <c r="AS1211" s="5"/>
      <c r="AT1211" s="5"/>
      <c r="AU1211" s="5"/>
    </row>
    <row r="1212" spans="2:47" x14ac:dyDescent="0.15">
      <c r="B1212" s="23"/>
      <c r="C1212" s="23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AP1212" s="5"/>
      <c r="AQ1212" s="5"/>
      <c r="AR1212" s="5"/>
      <c r="AS1212" s="5"/>
      <c r="AT1212" s="5"/>
      <c r="AU1212" s="5"/>
    </row>
    <row r="1213" spans="2:47" x14ac:dyDescent="0.15">
      <c r="B1213" s="23"/>
      <c r="C1213" s="23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AP1213" s="5"/>
      <c r="AQ1213" s="5"/>
      <c r="AR1213" s="5"/>
      <c r="AS1213" s="5"/>
      <c r="AT1213" s="5"/>
      <c r="AU1213" s="5"/>
    </row>
    <row r="1214" spans="2:47" x14ac:dyDescent="0.15">
      <c r="B1214" s="23"/>
      <c r="C1214" s="23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AP1214" s="5"/>
      <c r="AQ1214" s="5"/>
      <c r="AR1214" s="5"/>
      <c r="AS1214" s="5"/>
      <c r="AT1214" s="5"/>
      <c r="AU1214" s="5"/>
    </row>
    <row r="1215" spans="2:47" x14ac:dyDescent="0.15">
      <c r="B1215" s="23"/>
      <c r="C1215" s="23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AP1215" s="5"/>
      <c r="AQ1215" s="5"/>
      <c r="AR1215" s="5"/>
      <c r="AS1215" s="5"/>
      <c r="AT1215" s="5"/>
      <c r="AU1215" s="5"/>
    </row>
    <row r="1216" spans="2:47" x14ac:dyDescent="0.15">
      <c r="B1216" s="23"/>
      <c r="C1216" s="23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AP1216" s="5"/>
      <c r="AQ1216" s="5"/>
      <c r="AR1216" s="5"/>
      <c r="AS1216" s="5"/>
      <c r="AT1216" s="5"/>
      <c r="AU1216" s="5"/>
    </row>
    <row r="1217" spans="2:47" x14ac:dyDescent="0.15">
      <c r="B1217" s="23"/>
      <c r="C1217" s="23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AP1217" s="5"/>
      <c r="AQ1217" s="5"/>
      <c r="AR1217" s="5"/>
      <c r="AS1217" s="5"/>
      <c r="AT1217" s="5"/>
      <c r="AU1217" s="5"/>
    </row>
    <row r="1218" spans="2:47" x14ac:dyDescent="0.15">
      <c r="B1218" s="23"/>
      <c r="C1218" s="23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AP1218" s="5"/>
      <c r="AQ1218" s="5"/>
      <c r="AR1218" s="5"/>
      <c r="AS1218" s="5"/>
      <c r="AT1218" s="5"/>
      <c r="AU1218" s="5"/>
    </row>
    <row r="1219" spans="2:47" x14ac:dyDescent="0.15">
      <c r="B1219" s="23"/>
      <c r="C1219" s="23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AP1219" s="5"/>
      <c r="AQ1219" s="5"/>
      <c r="AR1219" s="5"/>
      <c r="AS1219" s="5"/>
      <c r="AT1219" s="5"/>
      <c r="AU1219" s="5"/>
    </row>
    <row r="1220" spans="2:47" x14ac:dyDescent="0.15">
      <c r="B1220" s="23"/>
      <c r="C1220" s="23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AP1220" s="5"/>
      <c r="AQ1220" s="5"/>
      <c r="AR1220" s="5"/>
      <c r="AS1220" s="5"/>
      <c r="AT1220" s="5"/>
      <c r="AU1220" s="5"/>
    </row>
    <row r="1221" spans="2:47" x14ac:dyDescent="0.15">
      <c r="B1221" s="23"/>
      <c r="C1221" s="23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AP1221" s="5"/>
      <c r="AQ1221" s="5"/>
      <c r="AR1221" s="5"/>
      <c r="AS1221" s="5"/>
      <c r="AT1221" s="5"/>
      <c r="AU1221" s="5"/>
    </row>
    <row r="1222" spans="2:47" x14ac:dyDescent="0.15">
      <c r="B1222" s="23"/>
      <c r="C1222" s="23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AP1222" s="5"/>
      <c r="AQ1222" s="5"/>
      <c r="AR1222" s="5"/>
      <c r="AS1222" s="5"/>
      <c r="AT1222" s="5"/>
      <c r="AU1222" s="5"/>
    </row>
    <row r="1223" spans="2:47" x14ac:dyDescent="0.15">
      <c r="B1223" s="23"/>
      <c r="C1223" s="23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AP1223" s="5"/>
      <c r="AQ1223" s="5"/>
      <c r="AR1223" s="5"/>
      <c r="AS1223" s="5"/>
      <c r="AT1223" s="5"/>
      <c r="AU1223" s="5"/>
    </row>
    <row r="1224" spans="2:47" x14ac:dyDescent="0.15">
      <c r="B1224" s="23"/>
      <c r="C1224" s="23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AP1224" s="5"/>
      <c r="AQ1224" s="5"/>
      <c r="AR1224" s="5"/>
      <c r="AS1224" s="5"/>
      <c r="AT1224" s="5"/>
      <c r="AU1224" s="5"/>
    </row>
    <row r="1225" spans="2:47" x14ac:dyDescent="0.15">
      <c r="B1225" s="23"/>
      <c r="C1225" s="23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AP1225" s="5"/>
      <c r="AQ1225" s="5"/>
      <c r="AR1225" s="5"/>
      <c r="AS1225" s="5"/>
      <c r="AT1225" s="5"/>
      <c r="AU1225" s="5"/>
    </row>
    <row r="1226" spans="2:47" x14ac:dyDescent="0.15">
      <c r="B1226" s="23"/>
      <c r="C1226" s="23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AP1226" s="5"/>
      <c r="AQ1226" s="5"/>
      <c r="AR1226" s="5"/>
      <c r="AS1226" s="5"/>
      <c r="AT1226" s="5"/>
      <c r="AU1226" s="5"/>
    </row>
    <row r="1227" spans="2:47" x14ac:dyDescent="0.15">
      <c r="B1227" s="23"/>
      <c r="C1227" s="23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AP1227" s="5"/>
      <c r="AQ1227" s="5"/>
      <c r="AR1227" s="5"/>
      <c r="AS1227" s="5"/>
      <c r="AT1227" s="5"/>
      <c r="AU1227" s="5"/>
    </row>
    <row r="1228" spans="2:47" x14ac:dyDescent="0.15">
      <c r="B1228" s="23"/>
      <c r="C1228" s="23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AP1228" s="5"/>
      <c r="AQ1228" s="5"/>
      <c r="AR1228" s="5"/>
      <c r="AS1228" s="5"/>
      <c r="AT1228" s="5"/>
      <c r="AU1228" s="5"/>
    </row>
    <row r="1229" spans="2:47" x14ac:dyDescent="0.15">
      <c r="B1229" s="23"/>
      <c r="C1229" s="23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AP1229" s="5"/>
      <c r="AQ1229" s="5"/>
      <c r="AR1229" s="5"/>
      <c r="AS1229" s="5"/>
      <c r="AT1229" s="5"/>
      <c r="AU1229" s="5"/>
    </row>
    <row r="1230" spans="2:47" x14ac:dyDescent="0.15">
      <c r="B1230" s="23"/>
      <c r="C1230" s="23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AP1230" s="5"/>
      <c r="AQ1230" s="5"/>
      <c r="AR1230" s="5"/>
      <c r="AS1230" s="5"/>
      <c r="AT1230" s="5"/>
      <c r="AU1230" s="5"/>
    </row>
    <row r="1231" spans="2:47" x14ac:dyDescent="0.15">
      <c r="B1231" s="23"/>
      <c r="C1231" s="23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AP1231" s="5"/>
      <c r="AQ1231" s="5"/>
      <c r="AR1231" s="5"/>
      <c r="AS1231" s="5"/>
      <c r="AT1231" s="5"/>
      <c r="AU1231" s="5"/>
    </row>
    <row r="1232" spans="2:47" x14ac:dyDescent="0.15">
      <c r="B1232" s="23"/>
      <c r="C1232" s="23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AP1232" s="5"/>
      <c r="AQ1232" s="5"/>
      <c r="AR1232" s="5"/>
      <c r="AS1232" s="5"/>
      <c r="AT1232" s="5"/>
      <c r="AU1232" s="5"/>
    </row>
    <row r="1233" spans="2:47" x14ac:dyDescent="0.15">
      <c r="B1233" s="23"/>
      <c r="C1233" s="23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AP1233" s="5"/>
      <c r="AQ1233" s="5"/>
      <c r="AR1233" s="5"/>
      <c r="AS1233" s="5"/>
      <c r="AT1233" s="5"/>
      <c r="AU1233" s="5"/>
    </row>
    <row r="1234" spans="2:47" x14ac:dyDescent="0.15">
      <c r="B1234" s="23"/>
      <c r="C1234" s="23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AP1234" s="5"/>
      <c r="AQ1234" s="5"/>
      <c r="AR1234" s="5"/>
      <c r="AS1234" s="5"/>
      <c r="AT1234" s="5"/>
      <c r="AU1234" s="5"/>
    </row>
    <row r="1235" spans="2:47" x14ac:dyDescent="0.15">
      <c r="B1235" s="23"/>
      <c r="C1235" s="23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AP1235" s="5"/>
      <c r="AQ1235" s="5"/>
      <c r="AR1235" s="5"/>
      <c r="AS1235" s="5"/>
      <c r="AT1235" s="5"/>
      <c r="AU1235" s="5"/>
    </row>
    <row r="1236" spans="2:47" x14ac:dyDescent="0.15">
      <c r="B1236" s="23"/>
      <c r="C1236" s="23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AP1236" s="5"/>
      <c r="AQ1236" s="5"/>
      <c r="AR1236" s="5"/>
      <c r="AS1236" s="5"/>
      <c r="AT1236" s="5"/>
      <c r="AU1236" s="5"/>
    </row>
    <row r="1237" spans="2:47" x14ac:dyDescent="0.15">
      <c r="B1237" s="23"/>
      <c r="C1237" s="23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AP1237" s="5"/>
      <c r="AQ1237" s="5"/>
      <c r="AR1237" s="5"/>
      <c r="AS1237" s="5"/>
      <c r="AT1237" s="5"/>
      <c r="AU1237" s="5"/>
    </row>
    <row r="1238" spans="2:47" x14ac:dyDescent="0.15">
      <c r="B1238" s="23"/>
      <c r="C1238" s="23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AP1238" s="5"/>
      <c r="AQ1238" s="5"/>
      <c r="AR1238" s="5"/>
      <c r="AS1238" s="5"/>
      <c r="AT1238" s="5"/>
      <c r="AU1238" s="5"/>
    </row>
    <row r="1239" spans="2:47" x14ac:dyDescent="0.15">
      <c r="B1239" s="23"/>
      <c r="C1239" s="23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AP1239" s="5"/>
      <c r="AQ1239" s="5"/>
      <c r="AR1239" s="5"/>
      <c r="AS1239" s="5"/>
      <c r="AT1239" s="5"/>
      <c r="AU1239" s="5"/>
    </row>
    <row r="1240" spans="2:47" x14ac:dyDescent="0.15">
      <c r="B1240" s="23"/>
      <c r="C1240" s="23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AP1240" s="5"/>
      <c r="AQ1240" s="5"/>
      <c r="AR1240" s="5"/>
      <c r="AS1240" s="5"/>
      <c r="AT1240" s="5"/>
      <c r="AU1240" s="5"/>
    </row>
    <row r="1241" spans="2:47" x14ac:dyDescent="0.15">
      <c r="B1241" s="23"/>
      <c r="C1241" s="23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AP1241" s="5"/>
      <c r="AQ1241" s="5"/>
      <c r="AR1241" s="5"/>
      <c r="AS1241" s="5"/>
      <c r="AT1241" s="5"/>
      <c r="AU1241" s="5"/>
    </row>
    <row r="1242" spans="2:47" x14ac:dyDescent="0.15">
      <c r="B1242" s="23"/>
      <c r="C1242" s="23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AP1242" s="5"/>
      <c r="AQ1242" s="5"/>
      <c r="AR1242" s="5"/>
      <c r="AS1242" s="5"/>
      <c r="AT1242" s="5"/>
      <c r="AU1242" s="5"/>
    </row>
    <row r="1243" spans="2:47" x14ac:dyDescent="0.15">
      <c r="B1243" s="23"/>
      <c r="C1243" s="23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</row>
    <row r="1244" spans="2:47" x14ac:dyDescent="0.15">
      <c r="B1244" s="23"/>
      <c r="C1244" s="23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</row>
    <row r="1245" spans="2:47" x14ac:dyDescent="0.15">
      <c r="B1245" s="23"/>
      <c r="C1245" s="23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</row>
    <row r="1246" spans="2:47" x14ac:dyDescent="0.15">
      <c r="B1246" s="23"/>
      <c r="C1246" s="23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</row>
    <row r="1247" spans="2:47" x14ac:dyDescent="0.15">
      <c r="B1247" s="23"/>
      <c r="C1247" s="23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</row>
    <row r="1248" spans="2:47" x14ac:dyDescent="0.15">
      <c r="B1248" s="23"/>
      <c r="C1248" s="23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</row>
    <row r="1249" spans="2:19" x14ac:dyDescent="0.15">
      <c r="B1249" s="23"/>
      <c r="C1249" s="23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</row>
    <row r="1250" spans="2:19" x14ac:dyDescent="0.15">
      <c r="B1250" s="23"/>
      <c r="C1250" s="23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</row>
    <row r="1251" spans="2:19" x14ac:dyDescent="0.15">
      <c r="B1251" s="23"/>
      <c r="C1251" s="23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</row>
    <row r="1252" spans="2:19" x14ac:dyDescent="0.15">
      <c r="B1252" s="23"/>
      <c r="C1252" s="23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</row>
    <row r="1253" spans="2:19" x14ac:dyDescent="0.15">
      <c r="B1253" s="23"/>
      <c r="C1253" s="23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</row>
    <row r="1254" spans="2:19" x14ac:dyDescent="0.15">
      <c r="B1254" s="23"/>
      <c r="C1254" s="23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</row>
    <row r="1255" spans="2:19" x14ac:dyDescent="0.15">
      <c r="B1255" s="23"/>
      <c r="C1255" s="23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</row>
    <row r="1256" spans="2:19" x14ac:dyDescent="0.15">
      <c r="B1256" s="23"/>
      <c r="C1256" s="23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</row>
    <row r="1257" spans="2:19" x14ac:dyDescent="0.15">
      <c r="B1257" s="23"/>
      <c r="C1257" s="23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</row>
    <row r="1258" spans="2:19" x14ac:dyDescent="0.15">
      <c r="B1258" s="23"/>
      <c r="C1258" s="23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</row>
    <row r="1259" spans="2:19" x14ac:dyDescent="0.15">
      <c r="B1259" s="23"/>
      <c r="C1259" s="23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</row>
    <row r="1260" spans="2:19" x14ac:dyDescent="0.15">
      <c r="B1260" s="23"/>
      <c r="C1260" s="23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</row>
    <row r="1261" spans="2:19" x14ac:dyDescent="0.15">
      <c r="B1261" s="23"/>
      <c r="C1261" s="23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</row>
    <row r="1262" spans="2:19" x14ac:dyDescent="0.15">
      <c r="B1262" s="23"/>
      <c r="C1262" s="23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</row>
    <row r="1263" spans="2:19" x14ac:dyDescent="0.15">
      <c r="B1263" s="23"/>
      <c r="C1263" s="23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</row>
    <row r="1264" spans="2:19" x14ac:dyDescent="0.15">
      <c r="B1264" s="23"/>
      <c r="C1264" s="23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</row>
    <row r="1265" spans="2:19" x14ac:dyDescent="0.15">
      <c r="B1265" s="23"/>
      <c r="C1265" s="23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</row>
    <row r="1266" spans="2:19" x14ac:dyDescent="0.15">
      <c r="B1266" s="23"/>
      <c r="C1266" s="23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</row>
    <row r="1267" spans="2:19" x14ac:dyDescent="0.15">
      <c r="B1267" s="23"/>
      <c r="C1267" s="23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</row>
    <row r="1268" spans="2:19" x14ac:dyDescent="0.15">
      <c r="B1268" s="23"/>
      <c r="C1268" s="23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</row>
    <row r="1269" spans="2:19" x14ac:dyDescent="0.15">
      <c r="B1269" s="23"/>
      <c r="C1269" s="23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</row>
    <row r="1270" spans="2:19" x14ac:dyDescent="0.15">
      <c r="B1270" s="23"/>
      <c r="C1270" s="23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</row>
    <row r="1271" spans="2:19" x14ac:dyDescent="0.15">
      <c r="B1271" s="23"/>
      <c r="C1271" s="23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</row>
    <row r="1272" spans="2:19" x14ac:dyDescent="0.15">
      <c r="B1272" s="23"/>
      <c r="C1272" s="23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</row>
    <row r="1273" spans="2:19" x14ac:dyDescent="0.15">
      <c r="B1273" s="23"/>
      <c r="C1273" s="23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</row>
    <row r="1274" spans="2:19" x14ac:dyDescent="0.15">
      <c r="B1274" s="23"/>
      <c r="C1274" s="23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</row>
    <row r="1275" spans="2:19" x14ac:dyDescent="0.15">
      <c r="B1275" s="23"/>
      <c r="C1275" s="23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</row>
    <row r="1276" spans="2:19" x14ac:dyDescent="0.15">
      <c r="B1276" s="23"/>
      <c r="C1276" s="23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</row>
    <row r="1277" spans="2:19" x14ac:dyDescent="0.15">
      <c r="B1277" s="23"/>
      <c r="C1277" s="23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</row>
    <row r="1278" spans="2:19" x14ac:dyDescent="0.15">
      <c r="B1278" s="23"/>
      <c r="C1278" s="23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</row>
    <row r="1279" spans="2:19" x14ac:dyDescent="0.15">
      <c r="B1279" s="23"/>
      <c r="C1279" s="23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</row>
    <row r="1280" spans="2:19" x14ac:dyDescent="0.15">
      <c r="B1280" s="23"/>
      <c r="C1280" s="23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</row>
    <row r="1281" spans="2:19" x14ac:dyDescent="0.15">
      <c r="B1281" s="23"/>
      <c r="C1281" s="23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</row>
    <row r="1282" spans="2:19" x14ac:dyDescent="0.15">
      <c r="B1282" s="23"/>
      <c r="C1282" s="23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</row>
    <row r="1283" spans="2:19" x14ac:dyDescent="0.15">
      <c r="B1283" s="23"/>
      <c r="C1283" s="23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</row>
    <row r="1284" spans="2:19" x14ac:dyDescent="0.15">
      <c r="B1284" s="23"/>
      <c r="C1284" s="23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</row>
    <row r="1285" spans="2:19" x14ac:dyDescent="0.15">
      <c r="B1285" s="23"/>
      <c r="C1285" s="23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</row>
    <row r="1286" spans="2:19" x14ac:dyDescent="0.15">
      <c r="B1286" s="23"/>
      <c r="C1286" s="23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</row>
    <row r="1287" spans="2:19" x14ac:dyDescent="0.15">
      <c r="B1287" s="23"/>
      <c r="C1287" s="23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</row>
    <row r="1288" spans="2:19" x14ac:dyDescent="0.15">
      <c r="B1288" s="23"/>
      <c r="C1288" s="23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</row>
    <row r="1289" spans="2:19" x14ac:dyDescent="0.15">
      <c r="B1289" s="23"/>
      <c r="C1289" s="23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</row>
    <row r="1290" spans="2:19" x14ac:dyDescent="0.15">
      <c r="B1290" s="23"/>
      <c r="C1290" s="23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</row>
    <row r="1291" spans="2:19" x14ac:dyDescent="0.15">
      <c r="B1291" s="23"/>
      <c r="C1291" s="23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</row>
    <row r="1292" spans="2:19" x14ac:dyDescent="0.15">
      <c r="B1292" s="23"/>
      <c r="C1292" s="23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</row>
    <row r="1293" spans="2:19" x14ac:dyDescent="0.15">
      <c r="B1293" s="23"/>
      <c r="C1293" s="23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</row>
    <row r="1294" spans="2:19" x14ac:dyDescent="0.15">
      <c r="B1294" s="23"/>
      <c r="C1294" s="23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</row>
    <row r="1295" spans="2:19" x14ac:dyDescent="0.15">
      <c r="B1295" s="23"/>
      <c r="C1295" s="23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</row>
    <row r="1296" spans="2:19" x14ac:dyDescent="0.15">
      <c r="B1296" s="23"/>
      <c r="C1296" s="23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</row>
    <row r="1297" spans="2:19" x14ac:dyDescent="0.15">
      <c r="B1297" s="23"/>
      <c r="C1297" s="23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</row>
    <row r="1298" spans="2:19" x14ac:dyDescent="0.15">
      <c r="B1298" s="23"/>
      <c r="C1298" s="23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</row>
    <row r="1299" spans="2:19" x14ac:dyDescent="0.15">
      <c r="B1299" s="23"/>
      <c r="C1299" s="23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</row>
    <row r="1300" spans="2:19" x14ac:dyDescent="0.15">
      <c r="B1300" s="23"/>
      <c r="C1300" s="23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</row>
    <row r="1301" spans="2:19" x14ac:dyDescent="0.15">
      <c r="B1301" s="23"/>
      <c r="C1301" s="23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</row>
    <row r="1302" spans="2:19" x14ac:dyDescent="0.15">
      <c r="B1302" s="23"/>
      <c r="C1302" s="23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</row>
    <row r="1303" spans="2:19" x14ac:dyDescent="0.15">
      <c r="B1303" s="23"/>
      <c r="C1303" s="23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</row>
    <row r="1304" spans="2:19" x14ac:dyDescent="0.15">
      <c r="B1304" s="23"/>
      <c r="C1304" s="23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</row>
    <row r="1305" spans="2:19" x14ac:dyDescent="0.15">
      <c r="B1305" s="23"/>
      <c r="C1305" s="23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</row>
    <row r="1306" spans="2:19" x14ac:dyDescent="0.15">
      <c r="B1306" s="23"/>
      <c r="C1306" s="23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</row>
    <row r="1307" spans="2:19" x14ac:dyDescent="0.15">
      <c r="B1307" s="23"/>
      <c r="C1307" s="23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</row>
    <row r="1308" spans="2:19" x14ac:dyDescent="0.15">
      <c r="B1308" s="23"/>
      <c r="C1308" s="23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</row>
    <row r="1309" spans="2:19" x14ac:dyDescent="0.15">
      <c r="B1309" s="23"/>
      <c r="C1309" s="23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</row>
    <row r="1310" spans="2:19" x14ac:dyDescent="0.15">
      <c r="B1310" s="23"/>
      <c r="C1310" s="23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</row>
    <row r="1311" spans="2:19" x14ac:dyDescent="0.15">
      <c r="B1311" s="23"/>
      <c r="C1311" s="23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</row>
    <row r="1312" spans="2:19" x14ac:dyDescent="0.15">
      <c r="B1312" s="23"/>
      <c r="C1312" s="23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</row>
    <row r="1313" spans="2:19" x14ac:dyDescent="0.15">
      <c r="B1313" s="23"/>
      <c r="C1313" s="23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</row>
    <row r="1314" spans="2:19" x14ac:dyDescent="0.15">
      <c r="B1314" s="23"/>
      <c r="C1314" s="23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</row>
    <row r="1315" spans="2:19" x14ac:dyDescent="0.15">
      <c r="B1315" s="23"/>
      <c r="C1315" s="23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</row>
    <row r="1316" spans="2:19" x14ac:dyDescent="0.15">
      <c r="B1316" s="23"/>
      <c r="C1316" s="23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</row>
    <row r="1317" spans="2:19" x14ac:dyDescent="0.15">
      <c r="B1317" s="23"/>
      <c r="C1317" s="23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</row>
    <row r="1318" spans="2:19" x14ac:dyDescent="0.15">
      <c r="B1318" s="23"/>
      <c r="C1318" s="23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</row>
    <row r="1319" spans="2:19" x14ac:dyDescent="0.15">
      <c r="B1319" s="23"/>
      <c r="C1319" s="23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</row>
    <row r="1320" spans="2:19" x14ac:dyDescent="0.15">
      <c r="B1320" s="23"/>
      <c r="C1320" s="23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</row>
    <row r="1321" spans="2:19" x14ac:dyDescent="0.15">
      <c r="B1321" s="23"/>
      <c r="C1321" s="23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</row>
    <row r="1322" spans="2:19" x14ac:dyDescent="0.15">
      <c r="B1322" s="23"/>
      <c r="C1322" s="23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</row>
    <row r="1323" spans="2:19" x14ac:dyDescent="0.15">
      <c r="B1323" s="23"/>
      <c r="C1323" s="23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</row>
    <row r="1324" spans="2:19" x14ac:dyDescent="0.15">
      <c r="B1324" s="23"/>
      <c r="C1324" s="23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</row>
    <row r="1325" spans="2:19" x14ac:dyDescent="0.15">
      <c r="B1325" s="23"/>
      <c r="C1325" s="23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</row>
    <row r="1326" spans="2:19" x14ac:dyDescent="0.15">
      <c r="B1326" s="23"/>
      <c r="C1326" s="23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</row>
    <row r="1327" spans="2:19" x14ac:dyDescent="0.15">
      <c r="B1327" s="23"/>
      <c r="C1327" s="23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</row>
    <row r="1328" spans="2:19" x14ac:dyDescent="0.15">
      <c r="B1328" s="23"/>
      <c r="C1328" s="23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</row>
    <row r="1329" spans="2:19" x14ac:dyDescent="0.15">
      <c r="B1329" s="23"/>
      <c r="C1329" s="23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</row>
    <row r="1330" spans="2:19" x14ac:dyDescent="0.15">
      <c r="B1330" s="23"/>
      <c r="C1330" s="23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</row>
    <row r="1331" spans="2:19" x14ac:dyDescent="0.15">
      <c r="B1331" s="23"/>
      <c r="C1331" s="23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</row>
    <row r="1332" spans="2:19" x14ac:dyDescent="0.15">
      <c r="B1332" s="23"/>
      <c r="C1332" s="23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</row>
    <row r="1333" spans="2:19" x14ac:dyDescent="0.15">
      <c r="B1333" s="23"/>
      <c r="C1333" s="23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</row>
    <row r="1334" spans="2:19" x14ac:dyDescent="0.15">
      <c r="B1334" s="23"/>
      <c r="C1334" s="23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</row>
    <row r="1335" spans="2:19" x14ac:dyDescent="0.15">
      <c r="B1335" s="23"/>
      <c r="C1335" s="23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</row>
    <row r="1336" spans="2:19" x14ac:dyDescent="0.15">
      <c r="B1336" s="23"/>
      <c r="C1336" s="23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</row>
    <row r="1337" spans="2:19" x14ac:dyDescent="0.15">
      <c r="B1337" s="23"/>
      <c r="C1337" s="23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</row>
    <row r="1338" spans="2:19" x14ac:dyDescent="0.15">
      <c r="B1338" s="23"/>
      <c r="C1338" s="23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</row>
    <row r="1339" spans="2:19" x14ac:dyDescent="0.15">
      <c r="B1339" s="23"/>
      <c r="C1339" s="23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</row>
    <row r="1340" spans="2:19" x14ac:dyDescent="0.15">
      <c r="B1340" s="23"/>
      <c r="C1340" s="23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</row>
    <row r="1341" spans="2:19" x14ac:dyDescent="0.15">
      <c r="B1341" s="23"/>
      <c r="C1341" s="23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</row>
    <row r="1342" spans="2:19" x14ac:dyDescent="0.15">
      <c r="B1342" s="23"/>
      <c r="C1342" s="23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</row>
    <row r="1343" spans="2:19" x14ac:dyDescent="0.15">
      <c r="B1343" s="23"/>
      <c r="C1343" s="23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</row>
    <row r="1344" spans="2:19" x14ac:dyDescent="0.15">
      <c r="B1344" s="23"/>
      <c r="C1344" s="23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</row>
    <row r="1345" spans="2:19" x14ac:dyDescent="0.15">
      <c r="B1345" s="23"/>
      <c r="C1345" s="23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</row>
    <row r="1346" spans="2:19" x14ac:dyDescent="0.15">
      <c r="B1346" s="23"/>
      <c r="C1346" s="23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</row>
    <row r="1347" spans="2:19" x14ac:dyDescent="0.15">
      <c r="B1347" s="23"/>
      <c r="C1347" s="23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</row>
    <row r="1348" spans="2:19" x14ac:dyDescent="0.15">
      <c r="B1348" s="23"/>
      <c r="C1348" s="23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</row>
    <row r="1349" spans="2:19" x14ac:dyDescent="0.15">
      <c r="B1349" s="23"/>
      <c r="C1349" s="23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</row>
    <row r="1350" spans="2:19" x14ac:dyDescent="0.15">
      <c r="B1350" s="23"/>
      <c r="C1350" s="23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</row>
    <row r="1351" spans="2:19" x14ac:dyDescent="0.15">
      <c r="B1351" s="23"/>
      <c r="C1351" s="23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</row>
    <row r="1352" spans="2:19" x14ac:dyDescent="0.15">
      <c r="B1352" s="23"/>
      <c r="C1352" s="23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</row>
    <row r="1353" spans="2:19" x14ac:dyDescent="0.15">
      <c r="B1353" s="23"/>
      <c r="C1353" s="23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</row>
    <row r="1354" spans="2:19" x14ac:dyDescent="0.15">
      <c r="B1354" s="23"/>
      <c r="C1354" s="23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</row>
    <row r="1355" spans="2:19" x14ac:dyDescent="0.15">
      <c r="B1355" s="23"/>
      <c r="C1355" s="23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</row>
    <row r="1356" spans="2:19" x14ac:dyDescent="0.15">
      <c r="B1356" s="23"/>
      <c r="C1356" s="23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</row>
    <row r="1357" spans="2:19" x14ac:dyDescent="0.15">
      <c r="B1357" s="23"/>
      <c r="C1357" s="23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</row>
    <row r="1358" spans="2:19" x14ac:dyDescent="0.15">
      <c r="B1358" s="23"/>
      <c r="C1358" s="23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</row>
    <row r="1359" spans="2:19" x14ac:dyDescent="0.15">
      <c r="B1359" s="23"/>
      <c r="C1359" s="23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</row>
    <row r="1360" spans="2:19" x14ac:dyDescent="0.15">
      <c r="B1360" s="23"/>
      <c r="C1360" s="23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</row>
    <row r="1361" spans="2:19" x14ac:dyDescent="0.15">
      <c r="B1361" s="23"/>
      <c r="C1361" s="23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</row>
    <row r="1362" spans="2:19" x14ac:dyDescent="0.15">
      <c r="B1362" s="23"/>
      <c r="C1362" s="23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</row>
    <row r="1363" spans="2:19" x14ac:dyDescent="0.15">
      <c r="B1363" s="23"/>
      <c r="C1363" s="23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</row>
    <row r="1364" spans="2:19" x14ac:dyDescent="0.15">
      <c r="B1364" s="23"/>
      <c r="C1364" s="23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</row>
    <row r="1365" spans="2:19" x14ac:dyDescent="0.15">
      <c r="B1365" s="23"/>
      <c r="C1365" s="23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</row>
    <row r="1366" spans="2:19" x14ac:dyDescent="0.15">
      <c r="B1366" s="23"/>
      <c r="C1366" s="23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</row>
    <row r="1367" spans="2:19" x14ac:dyDescent="0.15">
      <c r="B1367" s="23"/>
      <c r="C1367" s="23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</row>
    <row r="1368" spans="2:19" x14ac:dyDescent="0.15">
      <c r="B1368" s="23"/>
      <c r="C1368" s="23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</row>
    <row r="1369" spans="2:19" x14ac:dyDescent="0.15">
      <c r="B1369" s="23"/>
      <c r="C1369" s="23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</row>
    <row r="1370" spans="2:19" x14ac:dyDescent="0.15">
      <c r="B1370" s="23"/>
      <c r="C1370" s="23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</row>
    <row r="1371" spans="2:19" x14ac:dyDescent="0.15">
      <c r="B1371" s="23"/>
      <c r="C1371" s="23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</row>
    <row r="1372" spans="2:19" x14ac:dyDescent="0.15">
      <c r="B1372" s="23"/>
      <c r="C1372" s="23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</row>
    <row r="1373" spans="2:19" x14ac:dyDescent="0.15">
      <c r="B1373" s="23"/>
      <c r="C1373" s="23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</row>
    <row r="1374" spans="2:19" x14ac:dyDescent="0.15">
      <c r="B1374" s="23"/>
      <c r="C1374" s="23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</row>
    <row r="1375" spans="2:19" x14ac:dyDescent="0.15">
      <c r="B1375" s="23"/>
      <c r="C1375" s="23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</row>
    <row r="1376" spans="2:19" x14ac:dyDescent="0.15">
      <c r="B1376" s="23"/>
      <c r="C1376" s="23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</row>
    <row r="1377" spans="2:19" x14ac:dyDescent="0.15">
      <c r="B1377" s="23"/>
      <c r="C1377" s="23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</row>
    <row r="1378" spans="2:19" x14ac:dyDescent="0.15">
      <c r="B1378" s="23"/>
      <c r="C1378" s="23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</row>
    <row r="1379" spans="2:19" x14ac:dyDescent="0.15">
      <c r="B1379" s="23"/>
      <c r="C1379" s="23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</row>
    <row r="1380" spans="2:19" x14ac:dyDescent="0.15">
      <c r="B1380" s="23"/>
      <c r="C1380" s="23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</row>
    <row r="1381" spans="2:19" x14ac:dyDescent="0.15">
      <c r="B1381" s="23"/>
      <c r="C1381" s="23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</row>
    <row r="1382" spans="2:19" x14ac:dyDescent="0.15">
      <c r="B1382" s="23"/>
      <c r="C1382" s="23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</row>
    <row r="1383" spans="2:19" x14ac:dyDescent="0.15">
      <c r="B1383" s="23"/>
      <c r="C1383" s="23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</row>
    <row r="1384" spans="2:19" x14ac:dyDescent="0.15">
      <c r="B1384" s="23"/>
      <c r="C1384" s="23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</row>
    <row r="1385" spans="2:19" x14ac:dyDescent="0.15">
      <c r="B1385" s="23"/>
      <c r="C1385" s="23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</row>
    <row r="1386" spans="2:19" x14ac:dyDescent="0.15">
      <c r="B1386" s="23"/>
      <c r="C1386" s="23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</row>
    <row r="1387" spans="2:19" x14ac:dyDescent="0.15">
      <c r="B1387" s="23"/>
      <c r="C1387" s="23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</row>
    <row r="1388" spans="2:19" x14ac:dyDescent="0.15">
      <c r="B1388" s="23"/>
      <c r="C1388" s="23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</row>
    <row r="1389" spans="2:19" x14ac:dyDescent="0.15">
      <c r="B1389" s="23"/>
      <c r="C1389" s="23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</row>
    <row r="1390" spans="2:19" x14ac:dyDescent="0.15">
      <c r="B1390" s="23"/>
      <c r="C1390" s="23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</row>
    <row r="1391" spans="2:19" x14ac:dyDescent="0.15">
      <c r="B1391" s="23"/>
      <c r="C1391" s="23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</row>
    <row r="1392" spans="2:19" x14ac:dyDescent="0.15">
      <c r="B1392" s="23"/>
      <c r="C1392" s="23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</row>
    <row r="1393" spans="2:19" x14ac:dyDescent="0.15">
      <c r="B1393" s="23"/>
      <c r="C1393" s="23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</row>
    <row r="1394" spans="2:19" x14ac:dyDescent="0.15">
      <c r="B1394" s="23"/>
      <c r="C1394" s="23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</row>
    <row r="1395" spans="2:19" x14ac:dyDescent="0.15">
      <c r="B1395" s="23"/>
      <c r="C1395" s="23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</row>
    <row r="1396" spans="2:19" x14ac:dyDescent="0.15">
      <c r="B1396" s="23"/>
      <c r="C1396" s="23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</row>
    <row r="1397" spans="2:19" x14ac:dyDescent="0.15">
      <c r="B1397" s="23"/>
      <c r="C1397" s="23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</row>
    <row r="1398" spans="2:19" x14ac:dyDescent="0.15">
      <c r="B1398" s="23"/>
      <c r="C1398" s="23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</row>
    <row r="1399" spans="2:19" x14ac:dyDescent="0.15">
      <c r="B1399" s="23"/>
      <c r="C1399" s="23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</row>
    <row r="1400" spans="2:19" x14ac:dyDescent="0.15">
      <c r="B1400" s="23"/>
      <c r="C1400" s="23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</row>
    <row r="1401" spans="2:19" x14ac:dyDescent="0.15">
      <c r="B1401" s="23"/>
      <c r="C1401" s="23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</row>
    <row r="1402" spans="2:19" x14ac:dyDescent="0.15">
      <c r="B1402" s="23"/>
      <c r="C1402" s="23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</row>
    <row r="1403" spans="2:19" x14ac:dyDescent="0.15">
      <c r="B1403" s="23"/>
      <c r="C1403" s="23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</row>
    <row r="1404" spans="2:19" x14ac:dyDescent="0.15">
      <c r="B1404" s="23"/>
      <c r="C1404" s="23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</row>
    <row r="1405" spans="2:19" x14ac:dyDescent="0.15">
      <c r="B1405" s="23"/>
      <c r="C1405" s="23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</row>
    <row r="1406" spans="2:19" x14ac:dyDescent="0.15">
      <c r="B1406" s="23"/>
      <c r="C1406" s="23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</row>
    <row r="1407" spans="2:19" x14ac:dyDescent="0.15">
      <c r="B1407" s="23"/>
      <c r="C1407" s="23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</row>
    <row r="1408" spans="2:19" x14ac:dyDescent="0.15">
      <c r="B1408" s="23"/>
      <c r="C1408" s="23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</row>
    <row r="1409" spans="2:19" x14ac:dyDescent="0.15">
      <c r="B1409" s="23"/>
      <c r="C1409" s="23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</row>
    <row r="1410" spans="2:19" x14ac:dyDescent="0.15">
      <c r="B1410" s="23"/>
      <c r="C1410" s="23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</row>
    <row r="1411" spans="2:19" x14ac:dyDescent="0.15">
      <c r="B1411" s="23"/>
      <c r="C1411" s="23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</row>
    <row r="1412" spans="2:19" x14ac:dyDescent="0.15">
      <c r="B1412" s="23"/>
      <c r="C1412" s="23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</row>
    <row r="1413" spans="2:19" x14ac:dyDescent="0.15">
      <c r="B1413" s="23"/>
      <c r="C1413" s="23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</row>
    <row r="1414" spans="2:19" x14ac:dyDescent="0.15">
      <c r="B1414" s="23"/>
      <c r="C1414" s="23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</row>
    <row r="1415" spans="2:19" x14ac:dyDescent="0.15">
      <c r="B1415" s="23"/>
      <c r="C1415" s="23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</row>
    <row r="1416" spans="2:19" x14ac:dyDescent="0.15">
      <c r="B1416" s="23"/>
      <c r="C1416" s="23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</row>
    <row r="1417" spans="2:19" x14ac:dyDescent="0.15">
      <c r="B1417" s="23"/>
      <c r="C1417" s="23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</row>
    <row r="1418" spans="2:19" x14ac:dyDescent="0.15">
      <c r="B1418" s="23"/>
      <c r="C1418" s="23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</row>
    <row r="1419" spans="2:19" x14ac:dyDescent="0.15">
      <c r="B1419" s="23"/>
      <c r="C1419" s="23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</row>
    <row r="1420" spans="2:19" x14ac:dyDescent="0.15">
      <c r="B1420" s="23"/>
      <c r="C1420" s="23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</row>
    <row r="1421" spans="2:19" x14ac:dyDescent="0.15">
      <c r="B1421" s="23"/>
      <c r="C1421" s="23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</row>
    <row r="1422" spans="2:19" x14ac:dyDescent="0.15">
      <c r="B1422" s="23"/>
      <c r="C1422" s="23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</row>
    <row r="1423" spans="2:19" x14ac:dyDescent="0.15">
      <c r="B1423" s="23"/>
      <c r="C1423" s="23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</row>
    <row r="1424" spans="2:19" x14ac:dyDescent="0.15">
      <c r="B1424" s="23"/>
      <c r="C1424" s="23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</row>
    <row r="1425" spans="2:19" x14ac:dyDescent="0.15">
      <c r="B1425" s="23"/>
      <c r="C1425" s="23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</row>
    <row r="1426" spans="2:19" x14ac:dyDescent="0.15">
      <c r="B1426" s="23"/>
      <c r="C1426" s="23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</row>
    <row r="1427" spans="2:19" x14ac:dyDescent="0.15">
      <c r="B1427" s="23"/>
      <c r="C1427" s="23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</row>
    <row r="1428" spans="2:19" x14ac:dyDescent="0.15">
      <c r="B1428" s="23"/>
      <c r="C1428" s="23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</row>
    <row r="1429" spans="2:19" x14ac:dyDescent="0.15">
      <c r="B1429" s="23"/>
      <c r="C1429" s="23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</row>
    <row r="1430" spans="2:19" x14ac:dyDescent="0.15">
      <c r="B1430" s="23"/>
      <c r="C1430" s="23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</row>
    <row r="1431" spans="2:19" x14ac:dyDescent="0.15">
      <c r="B1431" s="23"/>
      <c r="C1431" s="23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</row>
    <row r="1432" spans="2:19" x14ac:dyDescent="0.15">
      <c r="B1432" s="23"/>
      <c r="C1432" s="23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</row>
    <row r="1433" spans="2:19" x14ac:dyDescent="0.15">
      <c r="B1433" s="23"/>
      <c r="C1433" s="23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</row>
    <row r="1434" spans="2:19" x14ac:dyDescent="0.15">
      <c r="B1434" s="23"/>
      <c r="C1434" s="23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</row>
    <row r="1435" spans="2:19" x14ac:dyDescent="0.15">
      <c r="B1435" s="23"/>
      <c r="C1435" s="23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</row>
    <row r="1436" spans="2:19" x14ac:dyDescent="0.15">
      <c r="B1436" s="23"/>
      <c r="C1436" s="23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</row>
    <row r="1437" spans="2:19" x14ac:dyDescent="0.15">
      <c r="B1437" s="23"/>
      <c r="C1437" s="23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</row>
    <row r="1438" spans="2:19" x14ac:dyDescent="0.15">
      <c r="B1438" s="23"/>
      <c r="C1438" s="23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</row>
    <row r="1439" spans="2:19" x14ac:dyDescent="0.15">
      <c r="B1439" s="23"/>
      <c r="C1439" s="23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</row>
    <row r="1440" spans="2:19" x14ac:dyDescent="0.15">
      <c r="B1440" s="23"/>
      <c r="C1440" s="23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</row>
    <row r="1441" spans="2:19" x14ac:dyDescent="0.15">
      <c r="B1441" s="23"/>
      <c r="C1441" s="23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</row>
    <row r="1442" spans="2:19" x14ac:dyDescent="0.15">
      <c r="B1442" s="23"/>
      <c r="C1442" s="23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</row>
    <row r="1443" spans="2:19" x14ac:dyDescent="0.15">
      <c r="B1443" s="23"/>
      <c r="C1443" s="23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</row>
    <row r="1444" spans="2:19" x14ac:dyDescent="0.15">
      <c r="B1444" s="23"/>
      <c r="C1444" s="23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</row>
    <row r="1445" spans="2:19" x14ac:dyDescent="0.15">
      <c r="B1445" s="23"/>
      <c r="C1445" s="23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</row>
    <row r="1446" spans="2:19" x14ac:dyDescent="0.15">
      <c r="B1446" s="23"/>
      <c r="C1446" s="23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</row>
    <row r="1447" spans="2:19" x14ac:dyDescent="0.15">
      <c r="B1447" s="23"/>
      <c r="C1447" s="23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</row>
    <row r="1448" spans="2:19" x14ac:dyDescent="0.15">
      <c r="B1448" s="23"/>
      <c r="C1448" s="23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</row>
    <row r="1449" spans="2:19" x14ac:dyDescent="0.15">
      <c r="B1449" s="23"/>
      <c r="C1449" s="23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</row>
    <row r="1450" spans="2:19" x14ac:dyDescent="0.15">
      <c r="B1450" s="23"/>
      <c r="C1450" s="23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</row>
    <row r="1451" spans="2:19" x14ac:dyDescent="0.15">
      <c r="B1451" s="23"/>
      <c r="C1451" s="23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</row>
    <row r="1452" spans="2:19" x14ac:dyDescent="0.15">
      <c r="B1452" s="23"/>
      <c r="C1452" s="23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</row>
    <row r="1453" spans="2:19" x14ac:dyDescent="0.15">
      <c r="B1453" s="23"/>
      <c r="C1453" s="23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</row>
    <row r="1454" spans="2:19" x14ac:dyDescent="0.15">
      <c r="B1454" s="23"/>
      <c r="C1454" s="23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</row>
    <row r="1455" spans="2:19" x14ac:dyDescent="0.15">
      <c r="B1455" s="23"/>
      <c r="C1455" s="23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</row>
    <row r="1456" spans="2:19" x14ac:dyDescent="0.15">
      <c r="B1456" s="23"/>
      <c r="C1456" s="23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</row>
    <row r="1457" spans="2:19" x14ac:dyDescent="0.15">
      <c r="B1457" s="23"/>
      <c r="C1457" s="23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</row>
    <row r="1458" spans="2:19" x14ac:dyDescent="0.15">
      <c r="B1458" s="23"/>
      <c r="C1458" s="23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</row>
    <row r="1459" spans="2:19" x14ac:dyDescent="0.15">
      <c r="B1459" s="23"/>
      <c r="C1459" s="23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</row>
    <row r="1460" spans="2:19" x14ac:dyDescent="0.15">
      <c r="B1460" s="23"/>
      <c r="C1460" s="23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</row>
    <row r="1461" spans="2:19" x14ac:dyDescent="0.15">
      <c r="B1461" s="23"/>
      <c r="C1461" s="23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</row>
    <row r="1462" spans="2:19" x14ac:dyDescent="0.15">
      <c r="B1462" s="23"/>
      <c r="C1462" s="23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</row>
    <row r="1463" spans="2:19" x14ac:dyDescent="0.15">
      <c r="B1463" s="23"/>
      <c r="C1463" s="23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</row>
    <row r="1464" spans="2:19" x14ac:dyDescent="0.15">
      <c r="B1464" s="23"/>
      <c r="C1464" s="23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</row>
    <row r="1465" spans="2:19" x14ac:dyDescent="0.15">
      <c r="B1465" s="23"/>
      <c r="C1465" s="23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</row>
    <row r="1466" spans="2:19" x14ac:dyDescent="0.15">
      <c r="B1466" s="23"/>
      <c r="C1466" s="23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</row>
    <row r="1467" spans="2:19" x14ac:dyDescent="0.15">
      <c r="B1467" s="23"/>
      <c r="C1467" s="23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</row>
    <row r="1468" spans="2:19" x14ac:dyDescent="0.15">
      <c r="B1468" s="23"/>
      <c r="C1468" s="23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</row>
    <row r="1469" spans="2:19" x14ac:dyDescent="0.15">
      <c r="B1469" s="23"/>
      <c r="C1469" s="23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</row>
    <row r="1470" spans="2:19" x14ac:dyDescent="0.15">
      <c r="B1470" s="23"/>
      <c r="C1470" s="23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</row>
    <row r="1471" spans="2:19" x14ac:dyDescent="0.15">
      <c r="B1471" s="23"/>
      <c r="C1471" s="23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</row>
    <row r="1472" spans="2:19" x14ac:dyDescent="0.15">
      <c r="B1472" s="23"/>
      <c r="C1472" s="23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</row>
    <row r="1473" spans="2:19" x14ac:dyDescent="0.15">
      <c r="B1473" s="23"/>
      <c r="C1473" s="23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</row>
    <row r="1474" spans="2:19" x14ac:dyDescent="0.15">
      <c r="B1474" s="23"/>
      <c r="C1474" s="23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</row>
    <row r="1475" spans="2:19" x14ac:dyDescent="0.15">
      <c r="B1475" s="23"/>
      <c r="C1475" s="23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</row>
    <row r="1476" spans="2:19" x14ac:dyDescent="0.15">
      <c r="B1476" s="23"/>
      <c r="C1476" s="23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</row>
    <row r="1477" spans="2:19" x14ac:dyDescent="0.15">
      <c r="B1477" s="23"/>
      <c r="C1477" s="23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</row>
    <row r="1478" spans="2:19" x14ac:dyDescent="0.15">
      <c r="B1478" s="23"/>
      <c r="C1478" s="23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</row>
    <row r="1479" spans="2:19" x14ac:dyDescent="0.15">
      <c r="B1479" s="23"/>
      <c r="C1479" s="23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</row>
    <row r="1480" spans="2:19" x14ac:dyDescent="0.15">
      <c r="B1480" s="23"/>
      <c r="C1480" s="23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</row>
    <row r="1481" spans="2:19" x14ac:dyDescent="0.15">
      <c r="B1481" s="23"/>
      <c r="C1481" s="23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</row>
    <row r="1482" spans="2:19" x14ac:dyDescent="0.15">
      <c r="B1482" s="23"/>
      <c r="C1482" s="23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</row>
    <row r="1483" spans="2:19" x14ac:dyDescent="0.15">
      <c r="B1483" s="23"/>
      <c r="C1483" s="23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</row>
    <row r="1484" spans="2:19" x14ac:dyDescent="0.15">
      <c r="B1484" s="23"/>
      <c r="C1484" s="23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</row>
    <row r="1485" spans="2:19" x14ac:dyDescent="0.15">
      <c r="B1485" s="23"/>
      <c r="C1485" s="23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</row>
    <row r="1486" spans="2:19" x14ac:dyDescent="0.15">
      <c r="B1486" s="23"/>
      <c r="C1486" s="23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</row>
    <row r="1487" spans="2:19" x14ac:dyDescent="0.15">
      <c r="B1487" s="23"/>
      <c r="C1487" s="23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</row>
    <row r="1488" spans="2:19" x14ac:dyDescent="0.15">
      <c r="B1488" s="23"/>
      <c r="C1488" s="23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</row>
    <row r="1489" spans="2:19" x14ac:dyDescent="0.15">
      <c r="B1489" s="23"/>
      <c r="C1489" s="23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</row>
    <row r="1490" spans="2:19" x14ac:dyDescent="0.15">
      <c r="B1490" s="23"/>
      <c r="C1490" s="23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</row>
    <row r="1491" spans="2:19" x14ac:dyDescent="0.15">
      <c r="B1491" s="23"/>
      <c r="C1491" s="23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</row>
    <row r="1492" spans="2:19" x14ac:dyDescent="0.15">
      <c r="B1492" s="23"/>
      <c r="C1492" s="23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</row>
    <row r="1493" spans="2:19" x14ac:dyDescent="0.15">
      <c r="B1493" s="23"/>
      <c r="C1493" s="23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</row>
    <row r="1494" spans="2:19" x14ac:dyDescent="0.15">
      <c r="B1494" s="23"/>
      <c r="C1494" s="23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</row>
    <row r="1495" spans="2:19" x14ac:dyDescent="0.15">
      <c r="B1495" s="23"/>
      <c r="C1495" s="23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</row>
    <row r="1496" spans="2:19" x14ac:dyDescent="0.15">
      <c r="B1496" s="23"/>
      <c r="C1496" s="23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</row>
    <row r="1497" spans="2:19" x14ac:dyDescent="0.15">
      <c r="B1497" s="23"/>
      <c r="C1497" s="23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</row>
    <row r="1498" spans="2:19" x14ac:dyDescent="0.15">
      <c r="B1498" s="23"/>
      <c r="C1498" s="23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</row>
    <row r="1499" spans="2:19" x14ac:dyDescent="0.15">
      <c r="B1499" s="23"/>
      <c r="C1499" s="23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</row>
    <row r="1500" spans="2:19" x14ac:dyDescent="0.15">
      <c r="B1500" s="23"/>
      <c r="C1500" s="23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</row>
    <row r="1501" spans="2:19" x14ac:dyDescent="0.15">
      <c r="B1501" s="23"/>
      <c r="C1501" s="23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</row>
    <row r="1502" spans="2:19" x14ac:dyDescent="0.15">
      <c r="B1502" s="23"/>
      <c r="C1502" s="23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</row>
    <row r="1503" spans="2:19" x14ac:dyDescent="0.15">
      <c r="B1503" s="23"/>
      <c r="C1503" s="23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</row>
    <row r="1504" spans="2:19" x14ac:dyDescent="0.15">
      <c r="B1504" s="23"/>
      <c r="C1504" s="23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</row>
    <row r="1505" spans="2:19" x14ac:dyDescent="0.15">
      <c r="B1505" s="23"/>
      <c r="C1505" s="23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</row>
    <row r="1506" spans="2:19" x14ac:dyDescent="0.15">
      <c r="B1506" s="23"/>
      <c r="C1506" s="23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</row>
    <row r="1507" spans="2:19" x14ac:dyDescent="0.15">
      <c r="B1507" s="23"/>
      <c r="C1507" s="23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</row>
    <row r="1508" spans="2:19" x14ac:dyDescent="0.15">
      <c r="B1508" s="23"/>
      <c r="C1508" s="23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</row>
    <row r="1509" spans="2:19" x14ac:dyDescent="0.15">
      <c r="B1509" s="23"/>
      <c r="C1509" s="23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</row>
    <row r="1510" spans="2:19" x14ac:dyDescent="0.15">
      <c r="B1510" s="23"/>
      <c r="C1510" s="23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</row>
    <row r="1511" spans="2:19" x14ac:dyDescent="0.15">
      <c r="B1511" s="23"/>
      <c r="C1511" s="23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</row>
    <row r="1512" spans="2:19" x14ac:dyDescent="0.15">
      <c r="B1512" s="23"/>
      <c r="C1512" s="23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</row>
    <row r="1513" spans="2:19" x14ac:dyDescent="0.15">
      <c r="B1513" s="23"/>
      <c r="C1513" s="23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</row>
    <row r="1514" spans="2:19" x14ac:dyDescent="0.15">
      <c r="B1514" s="23"/>
      <c r="C1514" s="23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</row>
    <row r="1515" spans="2:19" x14ac:dyDescent="0.15">
      <c r="B1515" s="23"/>
      <c r="C1515" s="23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</row>
    <row r="1516" spans="2:19" x14ac:dyDescent="0.15">
      <c r="B1516" s="23"/>
      <c r="C1516" s="23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</row>
    <row r="1517" spans="2:19" x14ac:dyDescent="0.15">
      <c r="B1517" s="23"/>
      <c r="C1517" s="23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</row>
    <row r="1518" spans="2:19" x14ac:dyDescent="0.15">
      <c r="B1518" s="23"/>
      <c r="C1518" s="23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</row>
    <row r="1519" spans="2:19" x14ac:dyDescent="0.15">
      <c r="B1519" s="23"/>
      <c r="C1519" s="23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</row>
    <row r="1520" spans="2:19" x14ac:dyDescent="0.15">
      <c r="B1520" s="23"/>
      <c r="C1520" s="23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</row>
    <row r="1521" spans="2:19" x14ac:dyDescent="0.15">
      <c r="B1521" s="23"/>
      <c r="C1521" s="23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</row>
    <row r="1522" spans="2:19" x14ac:dyDescent="0.15">
      <c r="B1522" s="23"/>
      <c r="C1522" s="23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</row>
    <row r="1523" spans="2:19" x14ac:dyDescent="0.15">
      <c r="B1523" s="23"/>
      <c r="C1523" s="23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</row>
    <row r="1524" spans="2:19" x14ac:dyDescent="0.15">
      <c r="B1524" s="23"/>
      <c r="C1524" s="23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</row>
    <row r="1525" spans="2:19" x14ac:dyDescent="0.15">
      <c r="B1525" s="23"/>
      <c r="C1525" s="23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</row>
    <row r="1526" spans="2:19" x14ac:dyDescent="0.15">
      <c r="B1526" s="23"/>
      <c r="C1526" s="23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</row>
    <row r="1527" spans="2:19" x14ac:dyDescent="0.15">
      <c r="B1527" s="23"/>
      <c r="C1527" s="23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</row>
    <row r="1528" spans="2:19" x14ac:dyDescent="0.15">
      <c r="B1528" s="23"/>
      <c r="C1528" s="23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</row>
    <row r="1529" spans="2:19" x14ac:dyDescent="0.15">
      <c r="B1529" s="23"/>
      <c r="C1529" s="23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</row>
    <row r="1530" spans="2:19" x14ac:dyDescent="0.15">
      <c r="B1530" s="23"/>
      <c r="C1530" s="23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</row>
    <row r="1531" spans="2:19" x14ac:dyDescent="0.15">
      <c r="B1531" s="23"/>
      <c r="C1531" s="23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</row>
    <row r="1532" spans="2:19" x14ac:dyDescent="0.15">
      <c r="B1532" s="23"/>
      <c r="C1532" s="23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</row>
    <row r="1533" spans="2:19" x14ac:dyDescent="0.15">
      <c r="B1533" s="23"/>
      <c r="C1533" s="23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</row>
    <row r="1534" spans="2:19" x14ac:dyDescent="0.15">
      <c r="B1534" s="23"/>
      <c r="C1534" s="23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</row>
    <row r="1535" spans="2:19" x14ac:dyDescent="0.15">
      <c r="B1535" s="23"/>
      <c r="C1535" s="23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</row>
    <row r="1536" spans="2:19" x14ac:dyDescent="0.15">
      <c r="B1536" s="23"/>
      <c r="C1536" s="23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</row>
    <row r="1537" spans="2:19" x14ac:dyDescent="0.15">
      <c r="B1537" s="23"/>
      <c r="C1537" s="23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</row>
    <row r="1538" spans="2:19" x14ac:dyDescent="0.15">
      <c r="B1538" s="23"/>
      <c r="C1538" s="23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</row>
    <row r="1539" spans="2:19" x14ac:dyDescent="0.15">
      <c r="B1539" s="23"/>
      <c r="C1539" s="23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</row>
    <row r="1540" spans="2:19" x14ac:dyDescent="0.15">
      <c r="B1540" s="23"/>
      <c r="C1540" s="23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</row>
    <row r="1541" spans="2:19" x14ac:dyDescent="0.15">
      <c r="B1541" s="23"/>
      <c r="C1541" s="23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</row>
    <row r="1542" spans="2:19" x14ac:dyDescent="0.15">
      <c r="B1542" s="23"/>
      <c r="C1542" s="23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</row>
    <row r="1543" spans="2:19" x14ac:dyDescent="0.15">
      <c r="B1543" s="23"/>
      <c r="C1543" s="23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</row>
    <row r="1544" spans="2:19" x14ac:dyDescent="0.15">
      <c r="B1544" s="23"/>
      <c r="C1544" s="23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</row>
    <row r="1545" spans="2:19" x14ac:dyDescent="0.15">
      <c r="B1545" s="23"/>
      <c r="C1545" s="23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</row>
    <row r="1546" spans="2:19" x14ac:dyDescent="0.15">
      <c r="B1546" s="23"/>
      <c r="C1546" s="23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</row>
    <row r="1547" spans="2:19" x14ac:dyDescent="0.15">
      <c r="B1547" s="23"/>
      <c r="C1547" s="23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</row>
    <row r="1548" spans="2:19" x14ac:dyDescent="0.15">
      <c r="B1548" s="23"/>
      <c r="C1548" s="23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</row>
    <row r="1549" spans="2:19" x14ac:dyDescent="0.15">
      <c r="B1549" s="23"/>
      <c r="C1549" s="23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</row>
    <row r="1550" spans="2:19" x14ac:dyDescent="0.15">
      <c r="B1550" s="23"/>
      <c r="C1550" s="23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</row>
    <row r="1551" spans="2:19" x14ac:dyDescent="0.15">
      <c r="B1551" s="23"/>
      <c r="C1551" s="23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</row>
    <row r="1552" spans="2:19" x14ac:dyDescent="0.15">
      <c r="B1552" s="23"/>
      <c r="C1552" s="23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</row>
    <row r="1553" spans="2:19" x14ac:dyDescent="0.15">
      <c r="B1553" s="23"/>
      <c r="C1553" s="23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</row>
    <row r="1554" spans="2:19" x14ac:dyDescent="0.15">
      <c r="B1554" s="23"/>
      <c r="C1554" s="23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</row>
    <row r="1555" spans="2:19" x14ac:dyDescent="0.15">
      <c r="B1555" s="23"/>
      <c r="C1555" s="23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</row>
    <row r="1556" spans="2:19" x14ac:dyDescent="0.15">
      <c r="B1556" s="23"/>
      <c r="C1556" s="23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</row>
    <row r="1557" spans="2:19" x14ac:dyDescent="0.15">
      <c r="B1557" s="23"/>
      <c r="C1557" s="23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</row>
    <row r="1558" spans="2:19" x14ac:dyDescent="0.15">
      <c r="B1558" s="23"/>
      <c r="C1558" s="23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</row>
    <row r="1559" spans="2:19" x14ac:dyDescent="0.15">
      <c r="B1559" s="23"/>
      <c r="C1559" s="23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</row>
    <row r="1560" spans="2:19" x14ac:dyDescent="0.15">
      <c r="B1560" s="23"/>
      <c r="C1560" s="23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</row>
    <row r="1561" spans="2:19" x14ac:dyDescent="0.15">
      <c r="B1561" s="23"/>
      <c r="C1561" s="23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</row>
    <row r="1562" spans="2:19" x14ac:dyDescent="0.15">
      <c r="B1562" s="23"/>
      <c r="C1562" s="23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</row>
    <row r="1563" spans="2:19" x14ac:dyDescent="0.15">
      <c r="B1563" s="23"/>
      <c r="C1563" s="23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</row>
    <row r="1564" spans="2:19" x14ac:dyDescent="0.15">
      <c r="B1564" s="23"/>
      <c r="C1564" s="23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</row>
    <row r="1565" spans="2:19" x14ac:dyDescent="0.15">
      <c r="B1565" s="23"/>
      <c r="C1565" s="23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</row>
    <row r="1566" spans="2:19" x14ac:dyDescent="0.15">
      <c r="B1566" s="23"/>
      <c r="C1566" s="23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</row>
    <row r="1567" spans="2:19" x14ac:dyDescent="0.15">
      <c r="B1567" s="23"/>
      <c r="C1567" s="23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</row>
    <row r="1568" spans="2:19" x14ac:dyDescent="0.15">
      <c r="B1568" s="23"/>
      <c r="C1568" s="23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</row>
    <row r="1569" spans="2:19" x14ac:dyDescent="0.15">
      <c r="B1569" s="23"/>
      <c r="C1569" s="23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</row>
    <row r="1570" spans="2:19" x14ac:dyDescent="0.15">
      <c r="B1570" s="23"/>
      <c r="C1570" s="23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</row>
    <row r="1571" spans="2:19" x14ac:dyDescent="0.15">
      <c r="B1571" s="23"/>
      <c r="C1571" s="23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</row>
    <row r="1572" spans="2:19" x14ac:dyDescent="0.15">
      <c r="B1572" s="23"/>
      <c r="C1572" s="23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</row>
    <row r="1573" spans="2:19" x14ac:dyDescent="0.15">
      <c r="B1573" s="23"/>
      <c r="C1573" s="23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</row>
    <row r="1574" spans="2:19" x14ac:dyDescent="0.15">
      <c r="B1574" s="23"/>
      <c r="C1574" s="23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</row>
    <row r="1575" spans="2:19" x14ac:dyDescent="0.15">
      <c r="B1575" s="23"/>
      <c r="C1575" s="23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</row>
    <row r="1576" spans="2:19" x14ac:dyDescent="0.15">
      <c r="B1576" s="23"/>
      <c r="C1576" s="23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</row>
    <row r="1577" spans="2:19" x14ac:dyDescent="0.15">
      <c r="B1577" s="23"/>
      <c r="C1577" s="23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</row>
    <row r="1578" spans="2:19" x14ac:dyDescent="0.15">
      <c r="B1578" s="23"/>
      <c r="C1578" s="23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</row>
    <row r="1579" spans="2:19" x14ac:dyDescent="0.15">
      <c r="B1579" s="23"/>
      <c r="C1579" s="23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</row>
    <row r="1580" spans="2:19" x14ac:dyDescent="0.15">
      <c r="B1580" s="23"/>
      <c r="C1580" s="23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</row>
    <row r="1581" spans="2:19" x14ac:dyDescent="0.15">
      <c r="B1581" s="23"/>
      <c r="C1581" s="23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</row>
    <row r="1582" spans="2:19" x14ac:dyDescent="0.15">
      <c r="B1582" s="23"/>
      <c r="C1582" s="23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</row>
    <row r="1583" spans="2:19" x14ac:dyDescent="0.15">
      <c r="B1583" s="23"/>
      <c r="C1583" s="23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</row>
    <row r="1584" spans="2:19" x14ac:dyDescent="0.15">
      <c r="B1584" s="23"/>
      <c r="C1584" s="23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</row>
    <row r="1585" spans="2:19" x14ac:dyDescent="0.15">
      <c r="B1585" s="23"/>
      <c r="C1585" s="23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</row>
    <row r="1586" spans="2:19" x14ac:dyDescent="0.15">
      <c r="B1586" s="23"/>
      <c r="C1586" s="23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</row>
    <row r="1587" spans="2:19" x14ac:dyDescent="0.15">
      <c r="B1587" s="23"/>
      <c r="C1587" s="23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</row>
    <row r="1588" spans="2:19" x14ac:dyDescent="0.15">
      <c r="B1588" s="23"/>
      <c r="C1588" s="23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</row>
    <row r="1589" spans="2:19" x14ac:dyDescent="0.15">
      <c r="B1589" s="23"/>
      <c r="C1589" s="23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</row>
    <row r="1590" spans="2:19" x14ac:dyDescent="0.15">
      <c r="B1590" s="23"/>
      <c r="C1590" s="23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</row>
    <row r="1591" spans="2:19" x14ac:dyDescent="0.15">
      <c r="B1591" s="23"/>
      <c r="C1591" s="23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</row>
    <row r="1592" spans="2:19" x14ac:dyDescent="0.15">
      <c r="B1592" s="23"/>
      <c r="C1592" s="23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</row>
    <row r="1593" spans="2:19" x14ac:dyDescent="0.15">
      <c r="B1593" s="23"/>
      <c r="C1593" s="23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</row>
    <row r="1594" spans="2:19" x14ac:dyDescent="0.15">
      <c r="B1594" s="23"/>
      <c r="C1594" s="23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</row>
    <row r="1595" spans="2:19" x14ac:dyDescent="0.15">
      <c r="B1595" s="23"/>
      <c r="C1595" s="23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</row>
    <row r="1596" spans="2:19" x14ac:dyDescent="0.15">
      <c r="B1596" s="23"/>
      <c r="C1596" s="23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</row>
    <row r="1597" spans="2:19" x14ac:dyDescent="0.15">
      <c r="B1597" s="23"/>
      <c r="C1597" s="23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</row>
    <row r="1598" spans="2:19" x14ac:dyDescent="0.15">
      <c r="B1598" s="23"/>
      <c r="C1598" s="23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</row>
    <row r="1599" spans="2:19" x14ac:dyDescent="0.15">
      <c r="B1599" s="23"/>
      <c r="C1599" s="23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</row>
    <row r="1600" spans="2:19" x14ac:dyDescent="0.15">
      <c r="B1600" s="23"/>
      <c r="C1600" s="23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</row>
    <row r="1601" spans="2:19" x14ac:dyDescent="0.15">
      <c r="B1601" s="23"/>
      <c r="C1601" s="23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</row>
    <row r="1602" spans="2:19" x14ac:dyDescent="0.15">
      <c r="B1602" s="23"/>
      <c r="C1602" s="23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</row>
    <row r="1603" spans="2:19" x14ac:dyDescent="0.15">
      <c r="B1603" s="23"/>
      <c r="C1603" s="23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</row>
    <row r="1604" spans="2:19" x14ac:dyDescent="0.15">
      <c r="B1604" s="23"/>
      <c r="C1604" s="23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</row>
    <row r="1605" spans="2:19" x14ac:dyDescent="0.15">
      <c r="B1605" s="23"/>
      <c r="C1605" s="23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</row>
    <row r="1606" spans="2:19" x14ac:dyDescent="0.15">
      <c r="B1606" s="23"/>
      <c r="C1606" s="23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</row>
    <row r="1607" spans="2:19" x14ac:dyDescent="0.15">
      <c r="B1607" s="23"/>
      <c r="C1607" s="23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</row>
    <row r="1608" spans="2:19" x14ac:dyDescent="0.15">
      <c r="B1608" s="23"/>
      <c r="C1608" s="23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</row>
    <row r="1609" spans="2:19" x14ac:dyDescent="0.15">
      <c r="B1609" s="23"/>
      <c r="C1609" s="23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</row>
    <row r="1610" spans="2:19" x14ac:dyDescent="0.15">
      <c r="B1610" s="23"/>
      <c r="C1610" s="23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</row>
    <row r="1611" spans="2:19" x14ac:dyDescent="0.15">
      <c r="B1611" s="23"/>
      <c r="C1611" s="23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</row>
    <row r="1612" spans="2:19" x14ac:dyDescent="0.15">
      <c r="B1612" s="23"/>
      <c r="C1612" s="23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</row>
    <row r="1613" spans="2:19" x14ac:dyDescent="0.15">
      <c r="B1613" s="23"/>
      <c r="C1613" s="23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</row>
    <row r="1614" spans="2:19" x14ac:dyDescent="0.15">
      <c r="B1614" s="23"/>
      <c r="C1614" s="23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</row>
    <row r="1615" spans="2:19" x14ac:dyDescent="0.15">
      <c r="B1615" s="23"/>
      <c r="C1615" s="23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</row>
    <row r="1616" spans="2:19" x14ac:dyDescent="0.15">
      <c r="B1616" s="23"/>
      <c r="C1616" s="23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</row>
    <row r="1617" spans="2:19" x14ac:dyDescent="0.15">
      <c r="B1617" s="23"/>
      <c r="C1617" s="23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</row>
    <row r="1618" spans="2:19" x14ac:dyDescent="0.15">
      <c r="B1618" s="23"/>
      <c r="C1618" s="23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</row>
    <row r="1619" spans="2:19" x14ac:dyDescent="0.15">
      <c r="B1619" s="23"/>
      <c r="C1619" s="23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</row>
    <row r="1620" spans="2:19" x14ac:dyDescent="0.15">
      <c r="B1620" s="23"/>
      <c r="C1620" s="23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</row>
    <row r="1621" spans="2:19" x14ac:dyDescent="0.15">
      <c r="B1621" s="23"/>
      <c r="C1621" s="23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</row>
    <row r="1622" spans="2:19" x14ac:dyDescent="0.15">
      <c r="B1622" s="23"/>
      <c r="C1622" s="23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</row>
    <row r="1623" spans="2:19" x14ac:dyDescent="0.15">
      <c r="B1623" s="23"/>
      <c r="C1623" s="23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</row>
    <row r="1624" spans="2:19" x14ac:dyDescent="0.15">
      <c r="B1624" s="23"/>
      <c r="C1624" s="23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</row>
    <row r="1625" spans="2:19" x14ac:dyDescent="0.15">
      <c r="B1625" s="23"/>
      <c r="C1625" s="23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</row>
    <row r="1626" spans="2:19" x14ac:dyDescent="0.15">
      <c r="B1626" s="23"/>
      <c r="C1626" s="23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</row>
    <row r="1627" spans="2:19" x14ac:dyDescent="0.15">
      <c r="B1627" s="23"/>
      <c r="C1627" s="23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</row>
    <row r="1628" spans="2:19" x14ac:dyDescent="0.15">
      <c r="B1628" s="23"/>
      <c r="C1628" s="23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</row>
    <row r="1629" spans="2:19" x14ac:dyDescent="0.15">
      <c r="B1629" s="23"/>
      <c r="C1629" s="23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</row>
    <row r="1630" spans="2:19" x14ac:dyDescent="0.15">
      <c r="B1630" s="23"/>
      <c r="C1630" s="23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</row>
    <row r="1631" spans="2:19" x14ac:dyDescent="0.15">
      <c r="B1631" s="23"/>
      <c r="C1631" s="23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</row>
    <row r="1632" spans="2:19" x14ac:dyDescent="0.15">
      <c r="B1632" s="23"/>
      <c r="C1632" s="23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</row>
    <row r="1633" spans="2:19" x14ac:dyDescent="0.15">
      <c r="B1633" s="23"/>
      <c r="C1633" s="23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</row>
    <row r="1634" spans="2:19" x14ac:dyDescent="0.15">
      <c r="B1634" s="23"/>
      <c r="C1634" s="23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</row>
    <row r="1635" spans="2:19" x14ac:dyDescent="0.15">
      <c r="B1635" s="23"/>
      <c r="C1635" s="23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</row>
    <row r="1636" spans="2:19" x14ac:dyDescent="0.15">
      <c r="B1636" s="23"/>
      <c r="C1636" s="23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</row>
    <row r="1637" spans="2:19" x14ac:dyDescent="0.15">
      <c r="B1637" s="23"/>
      <c r="C1637" s="23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</row>
    <row r="1638" spans="2:19" x14ac:dyDescent="0.15">
      <c r="B1638" s="23"/>
      <c r="C1638" s="23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</row>
    <row r="1639" spans="2:19" x14ac:dyDescent="0.15">
      <c r="B1639" s="23"/>
      <c r="C1639" s="23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</row>
    <row r="1640" spans="2:19" x14ac:dyDescent="0.15">
      <c r="B1640" s="23"/>
      <c r="C1640" s="23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</row>
    <row r="1641" spans="2:19" x14ac:dyDescent="0.15">
      <c r="B1641" s="23"/>
      <c r="C1641" s="23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</row>
    <row r="1642" spans="2:19" x14ac:dyDescent="0.15">
      <c r="B1642" s="23"/>
      <c r="C1642" s="23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</row>
    <row r="1643" spans="2:19" x14ac:dyDescent="0.15">
      <c r="B1643" s="23"/>
      <c r="C1643" s="23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</row>
    <row r="1644" spans="2:19" x14ac:dyDescent="0.15">
      <c r="B1644" s="23"/>
      <c r="C1644" s="23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</row>
    <row r="1645" spans="2:19" x14ac:dyDescent="0.15">
      <c r="B1645" s="23"/>
      <c r="C1645" s="23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</row>
    <row r="1646" spans="2:19" x14ac:dyDescent="0.15">
      <c r="B1646" s="23"/>
      <c r="C1646" s="23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</row>
    <row r="1647" spans="2:19" x14ac:dyDescent="0.15">
      <c r="B1647" s="23"/>
      <c r="C1647" s="23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</row>
    <row r="1648" spans="2:19" x14ac:dyDescent="0.15">
      <c r="B1648" s="23"/>
      <c r="C1648" s="23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</row>
    <row r="1649" spans="2:19" x14ac:dyDescent="0.15">
      <c r="B1649" s="23"/>
      <c r="C1649" s="23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</row>
    <row r="1650" spans="2:19" x14ac:dyDescent="0.15">
      <c r="B1650" s="23"/>
      <c r="C1650" s="23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</row>
    <row r="1651" spans="2:19" x14ac:dyDescent="0.15">
      <c r="B1651" s="23"/>
      <c r="C1651" s="23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</row>
    <row r="1652" spans="2:19" x14ac:dyDescent="0.15">
      <c r="B1652" s="23"/>
      <c r="C1652" s="23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</row>
    <row r="1653" spans="2:19" x14ac:dyDescent="0.15">
      <c r="B1653" s="23"/>
      <c r="C1653" s="23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</row>
    <row r="1654" spans="2:19" x14ac:dyDescent="0.15">
      <c r="B1654" s="23"/>
      <c r="C1654" s="23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</row>
    <row r="1655" spans="2:19" x14ac:dyDescent="0.15">
      <c r="B1655" s="23"/>
      <c r="C1655" s="23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</row>
    <row r="1656" spans="2:19" x14ac:dyDescent="0.15">
      <c r="B1656" s="23"/>
      <c r="C1656" s="23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</row>
    <row r="1657" spans="2:19" x14ac:dyDescent="0.15">
      <c r="B1657" s="23"/>
      <c r="C1657" s="23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</row>
    <row r="1658" spans="2:19" x14ac:dyDescent="0.15">
      <c r="B1658" s="23"/>
      <c r="C1658" s="23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</row>
    <row r="1659" spans="2:19" x14ac:dyDescent="0.15">
      <c r="B1659" s="23"/>
      <c r="C1659" s="23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</row>
    <row r="1660" spans="2:19" x14ac:dyDescent="0.15">
      <c r="B1660" s="23"/>
      <c r="C1660" s="23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</row>
    <row r="1661" spans="2:19" x14ac:dyDescent="0.15">
      <c r="B1661" s="23"/>
      <c r="C1661" s="23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</row>
    <row r="1662" spans="2:19" x14ac:dyDescent="0.15">
      <c r="B1662" s="23"/>
      <c r="C1662" s="23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</row>
    <row r="1663" spans="2:19" x14ac:dyDescent="0.15">
      <c r="B1663" s="23"/>
      <c r="C1663" s="23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</row>
    <row r="1664" spans="2:19" x14ac:dyDescent="0.15">
      <c r="B1664" s="23"/>
      <c r="C1664" s="23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</row>
    <row r="1665" spans="2:19" x14ac:dyDescent="0.15">
      <c r="B1665" s="23"/>
      <c r="C1665" s="23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</row>
    <row r="1666" spans="2:19" x14ac:dyDescent="0.15">
      <c r="B1666" s="23"/>
      <c r="C1666" s="23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</row>
    <row r="1667" spans="2:19" x14ac:dyDescent="0.15">
      <c r="B1667" s="23"/>
      <c r="C1667" s="23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</row>
    <row r="1668" spans="2:19" x14ac:dyDescent="0.15">
      <c r="B1668" s="23"/>
      <c r="C1668" s="23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</row>
    <row r="1669" spans="2:19" x14ac:dyDescent="0.15">
      <c r="B1669" s="23"/>
      <c r="C1669" s="23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</row>
    <row r="1670" spans="2:19" x14ac:dyDescent="0.15">
      <c r="B1670" s="23"/>
      <c r="C1670" s="23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</row>
    <row r="1671" spans="2:19" x14ac:dyDescent="0.15">
      <c r="B1671" s="23"/>
      <c r="C1671" s="23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</row>
    <row r="1672" spans="2:19" x14ac:dyDescent="0.15">
      <c r="B1672" s="23"/>
      <c r="C1672" s="23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</row>
    <row r="1673" spans="2:19" x14ac:dyDescent="0.15">
      <c r="B1673" s="23"/>
      <c r="C1673" s="23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</row>
    <row r="1674" spans="2:19" x14ac:dyDescent="0.15">
      <c r="B1674" s="23"/>
      <c r="C1674" s="23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</row>
    <row r="1675" spans="2:19" x14ac:dyDescent="0.15">
      <c r="B1675" s="23"/>
      <c r="C1675" s="23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</row>
    <row r="1676" spans="2:19" x14ac:dyDescent="0.15">
      <c r="B1676" s="23"/>
      <c r="C1676" s="23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</row>
    <row r="1677" spans="2:19" x14ac:dyDescent="0.15">
      <c r="B1677" s="23"/>
      <c r="C1677" s="23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</row>
    <row r="1678" spans="2:19" x14ac:dyDescent="0.15">
      <c r="B1678" s="23"/>
      <c r="C1678" s="23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</row>
    <row r="1679" spans="2:19" x14ac:dyDescent="0.15">
      <c r="B1679" s="23"/>
      <c r="C1679" s="23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</row>
    <row r="1680" spans="2:19" x14ac:dyDescent="0.15">
      <c r="B1680" s="23"/>
      <c r="C1680" s="23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</row>
    <row r="1681" spans="2:19" x14ac:dyDescent="0.15">
      <c r="B1681" s="23"/>
      <c r="C1681" s="23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</row>
    <row r="1682" spans="2:19" x14ac:dyDescent="0.15">
      <c r="B1682" s="23"/>
      <c r="C1682" s="23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</row>
    <row r="1683" spans="2:19" x14ac:dyDescent="0.15">
      <c r="B1683" s="23"/>
      <c r="C1683" s="23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</row>
    <row r="1684" spans="2:19" x14ac:dyDescent="0.15">
      <c r="B1684" s="23"/>
      <c r="C1684" s="23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</row>
    <row r="1685" spans="2:19" x14ac:dyDescent="0.15">
      <c r="B1685" s="23"/>
      <c r="C1685" s="23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</row>
    <row r="1686" spans="2:19" x14ac:dyDescent="0.15">
      <c r="B1686" s="23"/>
      <c r="C1686" s="23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</row>
    <row r="1687" spans="2:19" x14ac:dyDescent="0.15">
      <c r="B1687" s="23"/>
      <c r="C1687" s="23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</row>
    <row r="1688" spans="2:19" x14ac:dyDescent="0.15">
      <c r="B1688" s="23"/>
      <c r="C1688" s="23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</row>
    <row r="1689" spans="2:19" x14ac:dyDescent="0.15">
      <c r="B1689" s="23"/>
      <c r="C1689" s="23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</row>
    <row r="1690" spans="2:19" x14ac:dyDescent="0.15">
      <c r="B1690" s="23"/>
      <c r="C1690" s="23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</row>
    <row r="1691" spans="2:19" x14ac:dyDescent="0.15">
      <c r="B1691" s="23"/>
      <c r="C1691" s="23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</row>
    <row r="1692" spans="2:19" x14ac:dyDescent="0.15">
      <c r="B1692" s="23"/>
      <c r="C1692" s="23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</row>
    <row r="1693" spans="2:19" x14ac:dyDescent="0.15">
      <c r="B1693" s="23"/>
      <c r="C1693" s="23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</row>
    <row r="1694" spans="2:19" x14ac:dyDescent="0.15">
      <c r="B1694" s="23"/>
      <c r="C1694" s="23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</row>
    <row r="1695" spans="2:19" x14ac:dyDescent="0.15">
      <c r="B1695" s="23"/>
      <c r="C1695" s="23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</row>
    <row r="1696" spans="2:19" x14ac:dyDescent="0.15">
      <c r="B1696" s="23"/>
      <c r="C1696" s="23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</row>
    <row r="1697" spans="2:19" x14ac:dyDescent="0.15">
      <c r="B1697" s="23"/>
      <c r="C1697" s="23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</row>
    <row r="1698" spans="2:19" x14ac:dyDescent="0.15">
      <c r="B1698" s="23"/>
      <c r="C1698" s="23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</row>
    <row r="1699" spans="2:19" x14ac:dyDescent="0.15">
      <c r="B1699" s="23"/>
      <c r="C1699" s="23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</row>
    <row r="1700" spans="2:19" x14ac:dyDescent="0.15">
      <c r="B1700" s="23"/>
      <c r="C1700" s="23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</row>
    <row r="1701" spans="2:19" x14ac:dyDescent="0.15">
      <c r="B1701" s="23"/>
      <c r="C1701" s="23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</row>
    <row r="1702" spans="2:19" x14ac:dyDescent="0.15">
      <c r="B1702" s="23"/>
      <c r="C1702" s="23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</row>
    <row r="1703" spans="2:19" x14ac:dyDescent="0.15">
      <c r="B1703" s="23"/>
      <c r="C1703" s="23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</row>
    <row r="1704" spans="2:19" x14ac:dyDescent="0.15">
      <c r="B1704" s="23"/>
      <c r="C1704" s="23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</row>
    <row r="1705" spans="2:19" x14ac:dyDescent="0.15">
      <c r="B1705" s="23"/>
      <c r="C1705" s="23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</row>
    <row r="1706" spans="2:19" x14ac:dyDescent="0.15">
      <c r="B1706" s="23"/>
      <c r="C1706" s="23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</row>
    <row r="1707" spans="2:19" x14ac:dyDescent="0.15">
      <c r="B1707" s="23"/>
      <c r="C1707" s="23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</row>
    <row r="1708" spans="2:19" x14ac:dyDescent="0.15">
      <c r="B1708" s="23"/>
      <c r="C1708" s="23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</row>
    <row r="1709" spans="2:19" x14ac:dyDescent="0.15">
      <c r="B1709" s="23"/>
      <c r="C1709" s="23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</row>
    <row r="1710" spans="2:19" x14ac:dyDescent="0.15">
      <c r="B1710" s="23"/>
      <c r="C1710" s="23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</row>
    <row r="1711" spans="2:19" x14ac:dyDescent="0.15">
      <c r="B1711" s="23"/>
      <c r="C1711" s="23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</row>
    <row r="1712" spans="2:19" x14ac:dyDescent="0.15">
      <c r="B1712" s="23"/>
      <c r="C1712" s="23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</row>
    <row r="1713" spans="2:19" x14ac:dyDescent="0.15">
      <c r="B1713" s="23"/>
      <c r="C1713" s="23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</row>
    <row r="1714" spans="2:19" x14ac:dyDescent="0.15">
      <c r="B1714" s="23"/>
      <c r="C1714" s="23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</row>
    <row r="1715" spans="2:19" x14ac:dyDescent="0.15">
      <c r="B1715" s="23"/>
      <c r="C1715" s="23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</row>
    <row r="1716" spans="2:19" x14ac:dyDescent="0.15">
      <c r="B1716" s="23"/>
      <c r="C1716" s="23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</row>
    <row r="1717" spans="2:19" x14ac:dyDescent="0.15">
      <c r="B1717" s="23"/>
      <c r="C1717" s="23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</row>
    <row r="1718" spans="2:19" x14ac:dyDescent="0.15">
      <c r="B1718" s="23"/>
      <c r="C1718" s="23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</row>
    <row r="1719" spans="2:19" x14ac:dyDescent="0.15">
      <c r="B1719" s="23"/>
      <c r="C1719" s="23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</row>
    <row r="1720" spans="2:19" x14ac:dyDescent="0.15">
      <c r="B1720" s="23"/>
      <c r="C1720" s="23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</row>
    <row r="1721" spans="2:19" x14ac:dyDescent="0.15">
      <c r="B1721" s="23"/>
      <c r="C1721" s="23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</row>
    <row r="1722" spans="2:19" x14ac:dyDescent="0.15">
      <c r="B1722" s="23"/>
      <c r="C1722" s="23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</row>
    <row r="1723" spans="2:19" x14ac:dyDescent="0.15">
      <c r="B1723" s="23"/>
      <c r="C1723" s="23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</row>
    <row r="1724" spans="2:19" x14ac:dyDescent="0.15">
      <c r="B1724" s="23"/>
      <c r="C1724" s="23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</row>
    <row r="1725" spans="2:19" x14ac:dyDescent="0.15">
      <c r="B1725" s="23"/>
      <c r="C1725" s="23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</row>
    <row r="1726" spans="2:19" x14ac:dyDescent="0.15">
      <c r="B1726" s="23"/>
      <c r="C1726" s="23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</row>
    <row r="1727" spans="2:19" x14ac:dyDescent="0.15">
      <c r="B1727" s="23"/>
      <c r="C1727" s="23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</row>
    <row r="1728" spans="2:19" x14ac:dyDescent="0.15">
      <c r="B1728" s="23"/>
      <c r="C1728" s="23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</row>
    <row r="1729" spans="2:19" x14ac:dyDescent="0.15">
      <c r="B1729" s="23"/>
      <c r="C1729" s="23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</row>
    <row r="1730" spans="2:19" x14ac:dyDescent="0.15">
      <c r="B1730" s="23"/>
      <c r="C1730" s="23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</row>
    <row r="1731" spans="2:19" x14ac:dyDescent="0.15">
      <c r="B1731" s="23"/>
      <c r="C1731" s="23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</row>
    <row r="1732" spans="2:19" x14ac:dyDescent="0.15">
      <c r="B1732" s="23"/>
      <c r="C1732" s="23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</row>
    <row r="1733" spans="2:19" x14ac:dyDescent="0.15">
      <c r="B1733" s="23"/>
      <c r="C1733" s="23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</row>
    <row r="1734" spans="2:19" x14ac:dyDescent="0.15">
      <c r="B1734" s="23"/>
      <c r="C1734" s="23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</row>
    <row r="1735" spans="2:19" x14ac:dyDescent="0.15">
      <c r="B1735" s="23"/>
      <c r="C1735" s="23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</row>
    <row r="1736" spans="2:19" x14ac:dyDescent="0.15">
      <c r="B1736" s="23"/>
      <c r="C1736" s="23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</row>
    <row r="1737" spans="2:19" x14ac:dyDescent="0.15">
      <c r="B1737" s="23"/>
      <c r="C1737" s="23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</row>
    <row r="1738" spans="2:19" x14ac:dyDescent="0.15">
      <c r="B1738" s="23"/>
      <c r="C1738" s="23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</row>
    <row r="1739" spans="2:19" x14ac:dyDescent="0.15">
      <c r="B1739" s="23"/>
      <c r="C1739" s="23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</row>
    <row r="1740" spans="2:19" x14ac:dyDescent="0.15">
      <c r="B1740" s="23"/>
      <c r="C1740" s="23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</row>
    <row r="1741" spans="2:19" x14ac:dyDescent="0.15">
      <c r="B1741" s="23"/>
      <c r="C1741" s="23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</row>
    <row r="1742" spans="2:19" x14ac:dyDescent="0.15">
      <c r="B1742" s="23"/>
      <c r="C1742" s="23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</row>
    <row r="1743" spans="2:19" x14ac:dyDescent="0.15">
      <c r="B1743" s="23"/>
      <c r="C1743" s="23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</row>
    <row r="1744" spans="2:19" x14ac:dyDescent="0.15">
      <c r="B1744" s="23"/>
      <c r="C1744" s="23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</row>
    <row r="1745" spans="2:19" x14ac:dyDescent="0.15">
      <c r="B1745" s="23"/>
      <c r="C1745" s="23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</row>
    <row r="1746" spans="2:19" x14ac:dyDescent="0.15">
      <c r="B1746" s="23"/>
      <c r="C1746" s="23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</row>
    <row r="1747" spans="2:19" x14ac:dyDescent="0.15">
      <c r="B1747" s="23"/>
      <c r="C1747" s="23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</row>
    <row r="1748" spans="2:19" x14ac:dyDescent="0.15">
      <c r="B1748" s="23"/>
      <c r="C1748" s="23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</row>
    <row r="1749" spans="2:19" x14ac:dyDescent="0.15">
      <c r="B1749" s="23"/>
      <c r="C1749" s="23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</row>
    <row r="1750" spans="2:19" x14ac:dyDescent="0.15">
      <c r="B1750" s="23"/>
      <c r="C1750" s="23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</row>
    <row r="1751" spans="2:19" x14ac:dyDescent="0.15">
      <c r="B1751" s="23"/>
      <c r="C1751" s="23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</row>
    <row r="1752" spans="2:19" x14ac:dyDescent="0.15">
      <c r="B1752" s="23"/>
      <c r="C1752" s="23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</row>
    <row r="1753" spans="2:19" x14ac:dyDescent="0.15">
      <c r="B1753" s="23"/>
      <c r="C1753" s="23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</row>
    <row r="1754" spans="2:19" x14ac:dyDescent="0.15">
      <c r="B1754" s="23"/>
      <c r="C1754" s="23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</row>
    <row r="1755" spans="2:19" x14ac:dyDescent="0.15">
      <c r="B1755" s="23"/>
      <c r="C1755" s="23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</row>
    <row r="1756" spans="2:19" x14ac:dyDescent="0.15">
      <c r="B1756" s="23"/>
      <c r="C1756" s="23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</row>
    <row r="1757" spans="2:19" x14ac:dyDescent="0.15">
      <c r="B1757" s="23"/>
      <c r="C1757" s="23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</row>
    <row r="1758" spans="2:19" x14ac:dyDescent="0.15">
      <c r="B1758" s="23"/>
      <c r="C1758" s="23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</row>
    <row r="1759" spans="2:19" x14ac:dyDescent="0.15">
      <c r="B1759" s="23"/>
      <c r="C1759" s="23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</row>
    <row r="1760" spans="2:19" x14ac:dyDescent="0.15">
      <c r="B1760" s="23"/>
      <c r="C1760" s="23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</row>
    <row r="1761" spans="2:19" x14ac:dyDescent="0.15">
      <c r="B1761" s="23"/>
      <c r="C1761" s="23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</row>
    <row r="1762" spans="2:19" x14ac:dyDescent="0.15">
      <c r="B1762" s="23"/>
      <c r="C1762" s="23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</row>
    <row r="1763" spans="2:19" x14ac:dyDescent="0.15">
      <c r="B1763" s="23"/>
      <c r="C1763" s="23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</row>
    <row r="1764" spans="2:19" x14ac:dyDescent="0.15">
      <c r="B1764" s="23"/>
      <c r="C1764" s="23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</row>
    <row r="1765" spans="2:19" x14ac:dyDescent="0.15">
      <c r="B1765" s="23"/>
      <c r="C1765" s="23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</row>
    <row r="1766" spans="2:19" x14ac:dyDescent="0.15">
      <c r="B1766" s="23"/>
      <c r="C1766" s="23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</row>
    <row r="1767" spans="2:19" x14ac:dyDescent="0.15">
      <c r="B1767" s="23"/>
      <c r="C1767" s="23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</row>
    <row r="1768" spans="2:19" x14ac:dyDescent="0.15">
      <c r="B1768" s="23"/>
      <c r="C1768" s="23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</row>
    <row r="1769" spans="2:19" x14ac:dyDescent="0.15">
      <c r="B1769" s="23"/>
      <c r="C1769" s="23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</row>
    <row r="1770" spans="2:19" x14ac:dyDescent="0.15">
      <c r="B1770" s="23"/>
      <c r="C1770" s="23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</row>
    <row r="1771" spans="2:19" x14ac:dyDescent="0.15">
      <c r="B1771" s="23"/>
      <c r="C1771" s="23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</row>
    <row r="1772" spans="2:19" x14ac:dyDescent="0.15">
      <c r="B1772" s="23"/>
      <c r="C1772" s="23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</row>
    <row r="1773" spans="2:19" x14ac:dyDescent="0.15">
      <c r="B1773" s="23"/>
      <c r="C1773" s="23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</row>
    <row r="1774" spans="2:19" x14ac:dyDescent="0.15">
      <c r="B1774" s="23"/>
      <c r="C1774" s="23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</row>
    <row r="1775" spans="2:19" x14ac:dyDescent="0.15">
      <c r="B1775" s="23"/>
      <c r="C1775" s="23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</row>
    <row r="1776" spans="2:19" x14ac:dyDescent="0.15">
      <c r="B1776" s="23"/>
      <c r="C1776" s="23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</row>
    <row r="1777" spans="2:19" x14ac:dyDescent="0.15">
      <c r="B1777" s="23"/>
      <c r="C1777" s="23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</row>
    <row r="1778" spans="2:19" x14ac:dyDescent="0.15">
      <c r="B1778" s="23"/>
      <c r="C1778" s="23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</row>
    <row r="1779" spans="2:19" x14ac:dyDescent="0.15">
      <c r="B1779" s="23"/>
      <c r="C1779" s="23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</row>
    <row r="1780" spans="2:19" x14ac:dyDescent="0.15">
      <c r="B1780" s="23"/>
      <c r="C1780" s="23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</row>
    <row r="1781" spans="2:19" x14ac:dyDescent="0.15">
      <c r="B1781" s="23"/>
      <c r="C1781" s="23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</row>
    <row r="1782" spans="2:19" x14ac:dyDescent="0.15">
      <c r="B1782" s="23"/>
      <c r="C1782" s="23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</row>
    <row r="1783" spans="2:19" x14ac:dyDescent="0.15">
      <c r="B1783" s="23"/>
      <c r="C1783" s="23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</row>
    <row r="1784" spans="2:19" x14ac:dyDescent="0.15">
      <c r="B1784" s="23"/>
      <c r="C1784" s="23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</row>
    <row r="1785" spans="2:19" x14ac:dyDescent="0.15">
      <c r="B1785" s="23"/>
      <c r="C1785" s="23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</row>
    <row r="1786" spans="2:19" x14ac:dyDescent="0.15">
      <c r="B1786" s="23"/>
      <c r="C1786" s="23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</row>
    <row r="1787" spans="2:19" x14ac:dyDescent="0.15">
      <c r="B1787" s="23"/>
      <c r="C1787" s="23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</row>
    <row r="1788" spans="2:19" x14ac:dyDescent="0.15">
      <c r="B1788" s="23"/>
      <c r="C1788" s="23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</row>
    <row r="1789" spans="2:19" x14ac:dyDescent="0.15">
      <c r="B1789" s="23"/>
      <c r="C1789" s="23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</row>
    <row r="1790" spans="2:19" x14ac:dyDescent="0.15">
      <c r="B1790" s="23"/>
      <c r="C1790" s="23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</row>
    <row r="1791" spans="2:19" x14ac:dyDescent="0.15">
      <c r="B1791" s="23"/>
      <c r="C1791" s="23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</row>
    <row r="1792" spans="2:19" x14ac:dyDescent="0.15">
      <c r="B1792" s="23"/>
      <c r="C1792" s="23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</row>
    <row r="1793" spans="2:19" x14ac:dyDescent="0.15">
      <c r="B1793" s="23"/>
      <c r="C1793" s="23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</row>
    <row r="1794" spans="2:19" x14ac:dyDescent="0.15">
      <c r="B1794" s="23"/>
      <c r="C1794" s="23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</row>
    <row r="1795" spans="2:19" x14ac:dyDescent="0.15">
      <c r="B1795" s="23"/>
      <c r="C1795" s="23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</row>
    <row r="1796" spans="2:19" x14ac:dyDescent="0.15">
      <c r="B1796" s="23"/>
      <c r="C1796" s="23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</row>
    <row r="1797" spans="2:19" x14ac:dyDescent="0.15">
      <c r="B1797" s="23"/>
      <c r="C1797" s="23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</row>
    <row r="1798" spans="2:19" x14ac:dyDescent="0.15">
      <c r="B1798" s="23"/>
      <c r="C1798" s="23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</row>
    <row r="1799" spans="2:19" x14ac:dyDescent="0.15">
      <c r="B1799" s="23"/>
      <c r="C1799" s="23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</row>
    <row r="1800" spans="2:19" x14ac:dyDescent="0.15">
      <c r="B1800" s="23"/>
      <c r="C1800" s="23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</row>
    <row r="1801" spans="2:19" x14ac:dyDescent="0.15">
      <c r="B1801" s="23"/>
      <c r="C1801" s="23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</row>
    <row r="1802" spans="2:19" x14ac:dyDescent="0.15">
      <c r="B1802" s="23"/>
      <c r="C1802" s="23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</row>
    <row r="1803" spans="2:19" x14ac:dyDescent="0.15">
      <c r="B1803" s="23"/>
      <c r="C1803" s="23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</row>
    <row r="1804" spans="2:19" x14ac:dyDescent="0.15">
      <c r="B1804" s="23"/>
      <c r="C1804" s="23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</row>
    <row r="1805" spans="2:19" x14ac:dyDescent="0.15">
      <c r="B1805" s="23"/>
      <c r="C1805" s="23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</row>
    <row r="1806" spans="2:19" x14ac:dyDescent="0.15">
      <c r="B1806" s="23"/>
      <c r="C1806" s="23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</row>
    <row r="1807" spans="2:19" x14ac:dyDescent="0.15">
      <c r="B1807" s="23"/>
      <c r="C1807" s="23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</row>
    <row r="1808" spans="2:19" x14ac:dyDescent="0.15">
      <c r="B1808" s="23"/>
      <c r="C1808" s="23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</row>
    <row r="1809" spans="2:19" x14ac:dyDescent="0.15">
      <c r="B1809" s="23"/>
      <c r="C1809" s="23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</row>
    <row r="1810" spans="2:19" x14ac:dyDescent="0.15">
      <c r="B1810" s="23"/>
      <c r="C1810" s="23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</row>
    <row r="1811" spans="2:19" x14ac:dyDescent="0.15">
      <c r="B1811" s="23"/>
      <c r="C1811" s="23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</row>
    <row r="1812" spans="2:19" x14ac:dyDescent="0.15">
      <c r="B1812" s="23"/>
      <c r="C1812" s="23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</row>
    <row r="1813" spans="2:19" x14ac:dyDescent="0.15">
      <c r="B1813" s="23"/>
      <c r="C1813" s="23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</row>
    <row r="1814" spans="2:19" x14ac:dyDescent="0.15">
      <c r="B1814" s="23"/>
      <c r="C1814" s="23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</row>
    <row r="1815" spans="2:19" x14ac:dyDescent="0.15">
      <c r="B1815" s="23"/>
      <c r="C1815" s="23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</row>
    <row r="1816" spans="2:19" x14ac:dyDescent="0.15">
      <c r="B1816" s="23"/>
      <c r="C1816" s="23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</row>
    <row r="1817" spans="2:19" x14ac:dyDescent="0.15">
      <c r="B1817" s="23"/>
      <c r="C1817" s="23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</row>
    <row r="1818" spans="2:19" x14ac:dyDescent="0.15">
      <c r="B1818" s="23"/>
      <c r="C1818" s="23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</row>
    <row r="1819" spans="2:19" x14ac:dyDescent="0.15">
      <c r="B1819" s="23"/>
      <c r="C1819" s="23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</row>
    <row r="1820" spans="2:19" x14ac:dyDescent="0.15">
      <c r="B1820" s="23"/>
      <c r="C1820" s="23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</row>
    <row r="1821" spans="2:19" x14ac:dyDescent="0.15">
      <c r="B1821" s="23"/>
      <c r="C1821" s="23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</row>
    <row r="1822" spans="2:19" x14ac:dyDescent="0.15">
      <c r="B1822" s="23"/>
      <c r="C1822" s="23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</row>
    <row r="1823" spans="2:19" x14ac:dyDescent="0.15">
      <c r="B1823" s="23"/>
      <c r="C1823" s="23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</row>
    <row r="1824" spans="2:19" x14ac:dyDescent="0.15">
      <c r="B1824" s="23"/>
      <c r="C1824" s="23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</row>
    <row r="1825" spans="2:19" x14ac:dyDescent="0.15">
      <c r="B1825" s="23"/>
      <c r="C1825" s="23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</row>
    <row r="1826" spans="2:19" x14ac:dyDescent="0.15">
      <c r="B1826" s="23"/>
      <c r="C1826" s="23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</row>
    <row r="1827" spans="2:19" x14ac:dyDescent="0.15">
      <c r="B1827" s="23"/>
      <c r="C1827" s="23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</row>
    <row r="1828" spans="2:19" x14ac:dyDescent="0.15">
      <c r="B1828" s="23"/>
      <c r="C1828" s="23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</row>
    <row r="1829" spans="2:19" x14ac:dyDescent="0.15">
      <c r="B1829" s="23"/>
      <c r="C1829" s="23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</row>
    <row r="1830" spans="2:19" x14ac:dyDescent="0.15">
      <c r="B1830" s="23"/>
      <c r="C1830" s="23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</row>
    <row r="1831" spans="2:19" x14ac:dyDescent="0.15">
      <c r="B1831" s="23"/>
      <c r="C1831" s="23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</row>
    <row r="1832" spans="2:19" x14ac:dyDescent="0.15">
      <c r="B1832" s="23"/>
      <c r="C1832" s="23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</row>
    <row r="1833" spans="2:19" x14ac:dyDescent="0.15">
      <c r="B1833" s="23"/>
      <c r="C1833" s="23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</row>
    <row r="1834" spans="2:19" x14ac:dyDescent="0.15">
      <c r="B1834" s="23"/>
      <c r="C1834" s="23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</row>
    <row r="1835" spans="2:19" x14ac:dyDescent="0.15">
      <c r="B1835" s="23"/>
      <c r="C1835" s="23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</row>
    <row r="1836" spans="2:19" x14ac:dyDescent="0.15">
      <c r="B1836" s="23"/>
      <c r="C1836" s="23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</row>
    <row r="1837" spans="2:19" x14ac:dyDescent="0.15">
      <c r="B1837" s="23"/>
      <c r="C1837" s="23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</row>
    <row r="1838" spans="2:19" x14ac:dyDescent="0.15">
      <c r="B1838" s="23"/>
      <c r="C1838" s="23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</row>
    <row r="1839" spans="2:19" x14ac:dyDescent="0.15">
      <c r="B1839" s="23"/>
      <c r="C1839" s="23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</row>
    <row r="1840" spans="2:19" x14ac:dyDescent="0.15">
      <c r="B1840" s="23"/>
      <c r="C1840" s="23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</row>
    <row r="1841" spans="2:19" x14ac:dyDescent="0.15">
      <c r="B1841" s="23"/>
      <c r="C1841" s="23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</row>
    <row r="1842" spans="2:19" x14ac:dyDescent="0.15">
      <c r="B1842" s="23"/>
      <c r="C1842" s="23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</row>
    <row r="1843" spans="2:19" x14ac:dyDescent="0.15">
      <c r="B1843" s="23"/>
      <c r="C1843" s="23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</row>
    <row r="1844" spans="2:19" x14ac:dyDescent="0.15">
      <c r="B1844" s="23"/>
      <c r="C1844" s="23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</row>
    <row r="1845" spans="2:19" x14ac:dyDescent="0.15">
      <c r="B1845" s="23"/>
      <c r="C1845" s="23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</row>
    <row r="1846" spans="2:19" x14ac:dyDescent="0.15">
      <c r="B1846" s="23"/>
      <c r="C1846" s="23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</row>
    <row r="1847" spans="2:19" x14ac:dyDescent="0.15">
      <c r="B1847" s="23"/>
      <c r="C1847" s="23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</row>
    <row r="1848" spans="2:19" x14ac:dyDescent="0.15">
      <c r="B1848" s="23"/>
      <c r="C1848" s="23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</row>
    <row r="1849" spans="2:19" x14ac:dyDescent="0.15">
      <c r="B1849" s="23"/>
      <c r="C1849" s="23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</row>
    <row r="1850" spans="2:19" x14ac:dyDescent="0.15">
      <c r="B1850" s="23"/>
      <c r="C1850" s="23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</row>
    <row r="1851" spans="2:19" x14ac:dyDescent="0.15">
      <c r="B1851" s="23"/>
      <c r="C1851" s="23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</row>
    <row r="1852" spans="2:19" x14ac:dyDescent="0.15">
      <c r="B1852" s="23"/>
      <c r="C1852" s="23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</row>
    <row r="1853" spans="2:19" x14ac:dyDescent="0.15">
      <c r="B1853" s="23"/>
      <c r="C1853" s="23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</row>
    <row r="1854" spans="2:19" x14ac:dyDescent="0.15">
      <c r="B1854" s="23"/>
      <c r="C1854" s="23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</row>
    <row r="1855" spans="2:19" x14ac:dyDescent="0.15">
      <c r="B1855" s="23"/>
      <c r="C1855" s="23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</row>
    <row r="1856" spans="2:19" x14ac:dyDescent="0.15">
      <c r="B1856" s="23"/>
      <c r="C1856" s="23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</row>
    <row r="1857" spans="2:19" x14ac:dyDescent="0.15">
      <c r="B1857" s="23"/>
      <c r="C1857" s="23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</row>
    <row r="1858" spans="2:19" x14ac:dyDescent="0.15">
      <c r="B1858" s="23"/>
      <c r="C1858" s="23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</row>
    <row r="1859" spans="2:19" x14ac:dyDescent="0.15">
      <c r="B1859" s="23"/>
      <c r="C1859" s="23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</row>
    <row r="1860" spans="2:19" x14ac:dyDescent="0.15">
      <c r="B1860" s="23"/>
      <c r="C1860" s="23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</row>
    <row r="1861" spans="2:19" x14ac:dyDescent="0.15">
      <c r="B1861" s="23"/>
      <c r="C1861" s="23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</row>
    <row r="1862" spans="2:19" x14ac:dyDescent="0.15">
      <c r="B1862" s="23"/>
      <c r="C1862" s="23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</row>
    <row r="1863" spans="2:19" x14ac:dyDescent="0.15">
      <c r="B1863" s="23"/>
      <c r="C1863" s="23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</row>
    <row r="1864" spans="2:19" x14ac:dyDescent="0.15">
      <c r="B1864" s="23"/>
      <c r="C1864" s="23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</row>
    <row r="1865" spans="2:19" x14ac:dyDescent="0.15">
      <c r="B1865" s="23"/>
      <c r="C1865" s="23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</row>
    <row r="1866" spans="2:19" x14ac:dyDescent="0.15">
      <c r="B1866" s="23"/>
      <c r="C1866" s="23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</row>
    <row r="1867" spans="2:19" x14ac:dyDescent="0.15">
      <c r="B1867" s="23"/>
      <c r="C1867" s="23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</row>
    <row r="1868" spans="2:19" x14ac:dyDescent="0.15">
      <c r="B1868" s="23"/>
      <c r="C1868" s="23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</row>
    <row r="1869" spans="2:19" x14ac:dyDescent="0.15">
      <c r="B1869" s="23"/>
      <c r="C1869" s="23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</row>
    <row r="1870" spans="2:19" x14ac:dyDescent="0.15">
      <c r="B1870" s="23"/>
      <c r="C1870" s="23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</row>
    <row r="1871" spans="2:19" x14ac:dyDescent="0.15">
      <c r="B1871" s="23"/>
      <c r="C1871" s="23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</row>
    <row r="1872" spans="2:19" x14ac:dyDescent="0.15">
      <c r="B1872" s="23"/>
      <c r="C1872" s="23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</row>
    <row r="1873" spans="2:19" x14ac:dyDescent="0.15">
      <c r="B1873" s="23"/>
      <c r="C1873" s="23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</row>
    <row r="1874" spans="2:19" x14ac:dyDescent="0.15">
      <c r="B1874" s="23"/>
      <c r="C1874" s="23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</row>
    <row r="1875" spans="2:19" x14ac:dyDescent="0.15">
      <c r="B1875" s="23"/>
      <c r="C1875" s="23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</row>
    <row r="1876" spans="2:19" x14ac:dyDescent="0.15">
      <c r="B1876" s="23"/>
      <c r="C1876" s="23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</row>
    <row r="1877" spans="2:19" x14ac:dyDescent="0.15">
      <c r="B1877" s="23"/>
      <c r="C1877" s="23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</row>
    <row r="1878" spans="2:19" x14ac:dyDescent="0.15">
      <c r="B1878" s="23"/>
      <c r="C1878" s="23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</row>
    <row r="1879" spans="2:19" x14ac:dyDescent="0.15">
      <c r="B1879" s="23"/>
      <c r="C1879" s="23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</row>
    <row r="1880" spans="2:19" x14ac:dyDescent="0.15">
      <c r="B1880" s="23"/>
      <c r="C1880" s="23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</row>
    <row r="1881" spans="2:19" x14ac:dyDescent="0.15">
      <c r="B1881" s="23"/>
      <c r="C1881" s="23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</row>
    <row r="1882" spans="2:19" x14ac:dyDescent="0.15">
      <c r="B1882" s="23"/>
      <c r="C1882" s="23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</row>
    <row r="1883" spans="2:19" x14ac:dyDescent="0.15">
      <c r="B1883" s="23"/>
      <c r="C1883" s="23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</row>
    <row r="1884" spans="2:19" x14ac:dyDescent="0.15">
      <c r="B1884" s="23"/>
      <c r="C1884" s="23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</row>
    <row r="1885" spans="2:19" x14ac:dyDescent="0.15">
      <c r="B1885" s="23"/>
      <c r="C1885" s="23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</row>
    <row r="1886" spans="2:19" x14ac:dyDescent="0.15">
      <c r="B1886" s="23"/>
      <c r="C1886" s="23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</row>
    <row r="1887" spans="2:19" x14ac:dyDescent="0.15">
      <c r="B1887" s="23"/>
      <c r="C1887" s="23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</row>
    <row r="1888" spans="2:19" x14ac:dyDescent="0.15">
      <c r="B1888" s="23"/>
      <c r="C1888" s="23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</row>
    <row r="1889" spans="2:19" x14ac:dyDescent="0.15">
      <c r="B1889" s="23"/>
      <c r="C1889" s="23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</row>
    <row r="1890" spans="2:19" x14ac:dyDescent="0.15">
      <c r="B1890" s="23"/>
      <c r="C1890" s="23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</row>
    <row r="1891" spans="2:19" x14ac:dyDescent="0.15">
      <c r="B1891" s="23"/>
      <c r="C1891" s="23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</row>
    <row r="1892" spans="2:19" x14ac:dyDescent="0.15">
      <c r="B1892" s="23"/>
      <c r="C1892" s="23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</row>
    <row r="1893" spans="2:19" x14ac:dyDescent="0.15">
      <c r="B1893" s="23"/>
      <c r="C1893" s="23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</row>
    <row r="1894" spans="2:19" x14ac:dyDescent="0.15">
      <c r="B1894" s="23"/>
      <c r="C1894" s="23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</row>
    <row r="1895" spans="2:19" x14ac:dyDescent="0.15">
      <c r="B1895" s="23"/>
      <c r="C1895" s="23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</row>
    <row r="1896" spans="2:19" x14ac:dyDescent="0.15">
      <c r="B1896" s="23"/>
      <c r="C1896" s="23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</row>
    <row r="1897" spans="2:19" x14ac:dyDescent="0.15">
      <c r="B1897" s="23"/>
      <c r="C1897" s="23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</row>
    <row r="1898" spans="2:19" x14ac:dyDescent="0.15">
      <c r="B1898" s="23"/>
      <c r="C1898" s="23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</row>
    <row r="1899" spans="2:19" x14ac:dyDescent="0.15">
      <c r="B1899" s="23"/>
      <c r="C1899" s="23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</row>
    <row r="1900" spans="2:19" x14ac:dyDescent="0.15">
      <c r="B1900" s="23"/>
      <c r="C1900" s="23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</row>
    <row r="1901" spans="2:19" x14ac:dyDescent="0.15">
      <c r="B1901" s="23"/>
      <c r="C1901" s="23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</row>
    <row r="1902" spans="2:19" x14ac:dyDescent="0.15">
      <c r="B1902" s="23"/>
      <c r="C1902" s="23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</row>
    <row r="1903" spans="2:19" x14ac:dyDescent="0.15">
      <c r="B1903" s="23"/>
      <c r="C1903" s="23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</row>
    <row r="1904" spans="2:19" x14ac:dyDescent="0.15">
      <c r="B1904" s="23"/>
      <c r="C1904" s="23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</row>
    <row r="1905" spans="2:19" x14ac:dyDescent="0.15">
      <c r="B1905" s="23"/>
      <c r="C1905" s="23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</row>
    <row r="1906" spans="2:19" x14ac:dyDescent="0.15">
      <c r="B1906" s="23"/>
      <c r="C1906" s="23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</row>
    <row r="1907" spans="2:19" x14ac:dyDescent="0.15">
      <c r="B1907" s="23"/>
      <c r="C1907" s="23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</row>
    <row r="1908" spans="2:19" x14ac:dyDescent="0.15">
      <c r="B1908" s="23"/>
      <c r="C1908" s="23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</row>
    <row r="1909" spans="2:19" x14ac:dyDescent="0.15">
      <c r="B1909" s="23"/>
      <c r="C1909" s="23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</row>
    <row r="1910" spans="2:19" x14ac:dyDescent="0.15">
      <c r="B1910" s="23"/>
      <c r="C1910" s="23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</row>
    <row r="1911" spans="2:19" x14ac:dyDescent="0.15">
      <c r="B1911" s="23"/>
      <c r="C1911" s="23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</row>
    <row r="1912" spans="2:19" x14ac:dyDescent="0.15">
      <c r="B1912" s="23"/>
      <c r="C1912" s="23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</row>
    <row r="1913" spans="2:19" x14ac:dyDescent="0.15">
      <c r="B1913" s="23"/>
      <c r="C1913" s="23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</row>
    <row r="1914" spans="2:19" x14ac:dyDescent="0.15">
      <c r="B1914" s="23"/>
      <c r="C1914" s="23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</row>
    <row r="1915" spans="2:19" x14ac:dyDescent="0.15">
      <c r="B1915" s="23"/>
      <c r="C1915" s="23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</row>
    <row r="1916" spans="2:19" x14ac:dyDescent="0.15">
      <c r="B1916" s="23"/>
      <c r="C1916" s="23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</row>
    <row r="1917" spans="2:19" x14ac:dyDescent="0.15">
      <c r="B1917" s="23"/>
      <c r="C1917" s="23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</row>
    <row r="1918" spans="2:19" x14ac:dyDescent="0.15">
      <c r="B1918" s="23"/>
      <c r="C1918" s="23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</row>
    <row r="1919" spans="2:19" x14ac:dyDescent="0.15">
      <c r="B1919" s="23"/>
      <c r="C1919" s="23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</row>
    <row r="1920" spans="2:19" x14ac:dyDescent="0.15">
      <c r="B1920" s="23"/>
      <c r="C1920" s="23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</row>
    <row r="1921" spans="2:19" x14ac:dyDescent="0.15">
      <c r="B1921" s="23"/>
      <c r="C1921" s="23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</row>
    <row r="1922" spans="2:19" x14ac:dyDescent="0.15">
      <c r="B1922" s="23"/>
      <c r="C1922" s="23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</row>
    <row r="1923" spans="2:19" x14ac:dyDescent="0.15">
      <c r="B1923" s="23"/>
      <c r="C1923" s="23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</row>
    <row r="1924" spans="2:19" x14ac:dyDescent="0.15">
      <c r="B1924" s="23"/>
      <c r="C1924" s="23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</row>
    <row r="1925" spans="2:19" x14ac:dyDescent="0.15">
      <c r="B1925" s="23"/>
      <c r="C1925" s="23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</row>
    <row r="1926" spans="2:19" x14ac:dyDescent="0.15">
      <c r="B1926" s="23"/>
      <c r="C1926" s="23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</row>
    <row r="1927" spans="2:19" x14ac:dyDescent="0.15">
      <c r="B1927" s="23"/>
      <c r="C1927" s="23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</row>
    <row r="1928" spans="2:19" x14ac:dyDescent="0.15">
      <c r="B1928" s="23"/>
      <c r="C1928" s="23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</row>
    <row r="1929" spans="2:19" x14ac:dyDescent="0.15">
      <c r="B1929" s="23"/>
      <c r="C1929" s="23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</row>
    <row r="1930" spans="2:19" x14ac:dyDescent="0.15">
      <c r="B1930" s="23"/>
      <c r="C1930" s="23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</row>
    <row r="1931" spans="2:19" x14ac:dyDescent="0.15">
      <c r="B1931" s="23"/>
      <c r="C1931" s="23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</row>
    <row r="1932" spans="2:19" x14ac:dyDescent="0.15">
      <c r="B1932" s="23"/>
      <c r="C1932" s="23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</row>
    <row r="1933" spans="2:19" x14ac:dyDescent="0.15">
      <c r="B1933" s="23"/>
      <c r="C1933" s="23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</row>
    <row r="1934" spans="2:19" x14ac:dyDescent="0.15">
      <c r="B1934" s="23"/>
      <c r="C1934" s="23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</row>
    <row r="1935" spans="2:19" x14ac:dyDescent="0.15">
      <c r="B1935" s="23"/>
      <c r="C1935" s="23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</row>
    <row r="1936" spans="2:19" x14ac:dyDescent="0.15">
      <c r="B1936" s="23"/>
      <c r="C1936" s="23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</row>
    <row r="1937" spans="2:19" x14ac:dyDescent="0.15">
      <c r="B1937" s="23"/>
      <c r="C1937" s="23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</row>
    <row r="1938" spans="2:19" x14ac:dyDescent="0.15">
      <c r="B1938" s="23"/>
      <c r="C1938" s="23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</row>
    <row r="1939" spans="2:19" x14ac:dyDescent="0.15">
      <c r="B1939" s="23"/>
      <c r="C1939" s="23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</row>
    <row r="1940" spans="2:19" x14ac:dyDescent="0.15">
      <c r="B1940" s="23"/>
      <c r="C1940" s="23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</row>
    <row r="1941" spans="2:19" x14ac:dyDescent="0.15">
      <c r="B1941" s="23"/>
      <c r="C1941" s="23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</row>
    <row r="1942" spans="2:19" x14ac:dyDescent="0.15">
      <c r="B1942" s="23"/>
      <c r="C1942" s="23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</row>
    <row r="1943" spans="2:19" x14ac:dyDescent="0.15">
      <c r="B1943" s="23"/>
      <c r="C1943" s="23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</row>
    <row r="1944" spans="2:19" x14ac:dyDescent="0.15">
      <c r="B1944" s="23"/>
      <c r="C1944" s="23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</row>
    <row r="1945" spans="2:19" x14ac:dyDescent="0.15">
      <c r="B1945" s="23"/>
      <c r="C1945" s="23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</row>
    <row r="1946" spans="2:19" x14ac:dyDescent="0.15">
      <c r="B1946" s="23"/>
      <c r="C1946" s="23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</row>
    <row r="1947" spans="2:19" x14ac:dyDescent="0.15">
      <c r="B1947" s="23"/>
      <c r="C1947" s="23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</row>
    <row r="1948" spans="2:19" x14ac:dyDescent="0.15">
      <c r="B1948" s="23"/>
      <c r="C1948" s="23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</row>
    <row r="1949" spans="2:19" x14ac:dyDescent="0.15">
      <c r="B1949" s="23"/>
      <c r="C1949" s="23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</row>
    <row r="1950" spans="2:19" x14ac:dyDescent="0.15">
      <c r="B1950" s="23"/>
      <c r="C1950" s="23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</row>
    <row r="1951" spans="2:19" x14ac:dyDescent="0.15">
      <c r="B1951" s="23"/>
      <c r="C1951" s="23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</row>
    <row r="1952" spans="2:19" x14ac:dyDescent="0.15">
      <c r="B1952" s="23"/>
      <c r="C1952" s="23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</row>
    <row r="1953" spans="2:19" x14ac:dyDescent="0.15">
      <c r="B1953" s="23"/>
      <c r="C1953" s="23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</row>
    <row r="1954" spans="2:19" x14ac:dyDescent="0.15">
      <c r="B1954" s="23"/>
      <c r="C1954" s="23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</row>
    <row r="1955" spans="2:19" x14ac:dyDescent="0.15">
      <c r="B1955" s="23"/>
      <c r="C1955" s="23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</row>
    <row r="1956" spans="2:19" x14ac:dyDescent="0.15">
      <c r="B1956" s="23"/>
      <c r="C1956" s="23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</row>
    <row r="1957" spans="2:19" x14ac:dyDescent="0.15">
      <c r="B1957" s="23"/>
      <c r="C1957" s="23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</row>
    <row r="1958" spans="2:19" x14ac:dyDescent="0.15">
      <c r="B1958" s="23"/>
      <c r="C1958" s="23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</row>
    <row r="1959" spans="2:19" x14ac:dyDescent="0.15">
      <c r="B1959" s="23"/>
      <c r="C1959" s="23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</row>
    <row r="1960" spans="2:19" x14ac:dyDescent="0.15">
      <c r="B1960" s="23"/>
      <c r="C1960" s="23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</row>
    <row r="1961" spans="2:19" x14ac:dyDescent="0.15">
      <c r="B1961" s="23"/>
      <c r="C1961" s="23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</row>
    <row r="1962" spans="2:19" x14ac:dyDescent="0.15">
      <c r="B1962" s="23"/>
      <c r="C1962" s="23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</row>
    <row r="1963" spans="2:19" x14ac:dyDescent="0.15">
      <c r="B1963" s="23"/>
      <c r="C1963" s="23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</row>
    <row r="1964" spans="2:19" x14ac:dyDescent="0.15">
      <c r="B1964" s="23"/>
      <c r="C1964" s="23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</row>
    <row r="1965" spans="2:19" x14ac:dyDescent="0.15">
      <c r="B1965" s="23"/>
      <c r="C1965" s="23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</row>
    <row r="1966" spans="2:19" x14ac:dyDescent="0.15">
      <c r="B1966" s="23"/>
      <c r="C1966" s="23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</row>
    <row r="1967" spans="2:19" x14ac:dyDescent="0.15">
      <c r="B1967" s="23"/>
      <c r="C1967" s="23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</row>
    <row r="1968" spans="2:19" x14ac:dyDescent="0.15">
      <c r="B1968" s="23"/>
      <c r="C1968" s="23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</row>
    <row r="1969" spans="2:19" x14ac:dyDescent="0.15">
      <c r="B1969" s="23"/>
      <c r="C1969" s="23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</row>
    <row r="1970" spans="2:19" x14ac:dyDescent="0.15">
      <c r="B1970" s="23"/>
      <c r="C1970" s="23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</row>
    <row r="1971" spans="2:19" x14ac:dyDescent="0.15">
      <c r="B1971" s="23"/>
      <c r="C1971" s="23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</row>
    <row r="1972" spans="2:19" x14ac:dyDescent="0.15">
      <c r="B1972" s="23"/>
      <c r="C1972" s="23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</row>
    <row r="1973" spans="2:19" x14ac:dyDescent="0.15">
      <c r="B1973" s="23"/>
      <c r="C1973" s="23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</row>
    <row r="1974" spans="2:19" x14ac:dyDescent="0.15">
      <c r="B1974" s="23"/>
      <c r="C1974" s="23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</row>
    <row r="1975" spans="2:19" x14ac:dyDescent="0.15">
      <c r="B1975" s="23"/>
      <c r="C1975" s="23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</row>
    <row r="1976" spans="2:19" x14ac:dyDescent="0.15">
      <c r="B1976" s="23"/>
      <c r="C1976" s="23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</row>
    <row r="1977" spans="2:19" x14ac:dyDescent="0.15">
      <c r="B1977" s="23"/>
      <c r="C1977" s="23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</row>
    <row r="1978" spans="2:19" x14ac:dyDescent="0.15">
      <c r="B1978" s="23"/>
      <c r="C1978" s="23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</row>
    <row r="1979" spans="2:19" x14ac:dyDescent="0.15">
      <c r="B1979" s="23"/>
      <c r="C1979" s="23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</row>
    <row r="1980" spans="2:19" x14ac:dyDescent="0.15">
      <c r="B1980" s="23"/>
      <c r="C1980" s="23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</row>
    <row r="1981" spans="2:19" x14ac:dyDescent="0.15">
      <c r="B1981" s="23"/>
      <c r="C1981" s="23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</row>
    <row r="1982" spans="2:19" x14ac:dyDescent="0.15">
      <c r="B1982" s="23"/>
      <c r="C1982" s="23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</row>
    <row r="1983" spans="2:19" x14ac:dyDescent="0.15">
      <c r="B1983" s="23"/>
      <c r="C1983" s="23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</row>
    <row r="1984" spans="2:19" x14ac:dyDescent="0.15">
      <c r="B1984" s="23"/>
      <c r="C1984" s="23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</row>
    <row r="1985" spans="2:19" x14ac:dyDescent="0.15">
      <c r="B1985" s="23"/>
      <c r="C1985" s="23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</row>
    <row r="1986" spans="2:19" x14ac:dyDescent="0.15">
      <c r="B1986" s="23"/>
      <c r="C1986" s="23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</row>
    <row r="1987" spans="2:19" x14ac:dyDescent="0.15">
      <c r="B1987" s="23"/>
      <c r="C1987" s="23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</row>
    <row r="1988" spans="2:19" x14ac:dyDescent="0.15">
      <c r="B1988" s="23"/>
      <c r="C1988" s="23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</row>
    <row r="1989" spans="2:19" x14ac:dyDescent="0.15">
      <c r="B1989" s="23"/>
      <c r="C1989" s="23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</row>
    <row r="1990" spans="2:19" x14ac:dyDescent="0.15">
      <c r="B1990" s="23"/>
      <c r="C1990" s="23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</row>
    <row r="1991" spans="2:19" x14ac:dyDescent="0.15">
      <c r="B1991" s="23"/>
      <c r="C1991" s="23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</row>
    <row r="1992" spans="2:19" x14ac:dyDescent="0.15">
      <c r="B1992" s="23"/>
      <c r="C1992" s="23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</row>
    <row r="1993" spans="2:19" x14ac:dyDescent="0.15">
      <c r="B1993" s="23"/>
      <c r="C1993" s="23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</row>
    <row r="1994" spans="2:19" x14ac:dyDescent="0.15">
      <c r="B1994" s="23"/>
      <c r="C1994" s="23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</row>
    <row r="1995" spans="2:19" x14ac:dyDescent="0.15">
      <c r="B1995" s="23"/>
      <c r="C1995" s="23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</row>
    <row r="1996" spans="2:19" x14ac:dyDescent="0.15">
      <c r="B1996" s="23"/>
      <c r="C1996" s="23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</row>
    <row r="1997" spans="2:19" x14ac:dyDescent="0.15">
      <c r="B1997" s="23"/>
      <c r="C1997" s="23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</row>
    <row r="1998" spans="2:19" x14ac:dyDescent="0.15">
      <c r="B1998" s="23"/>
      <c r="C1998" s="23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</row>
    <row r="1999" spans="2:19" x14ac:dyDescent="0.15">
      <c r="B1999" s="23"/>
      <c r="C1999" s="23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</row>
    <row r="2000" spans="2:19" x14ac:dyDescent="0.15">
      <c r="B2000" s="23"/>
      <c r="C2000" s="23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</row>
    <row r="2001" spans="2:19" x14ac:dyDescent="0.15">
      <c r="B2001" s="23"/>
      <c r="C2001" s="23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</row>
    <row r="2002" spans="2:19" x14ac:dyDescent="0.15">
      <c r="B2002" s="23"/>
      <c r="C2002" s="23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</row>
    <row r="2003" spans="2:19" x14ac:dyDescent="0.15">
      <c r="B2003" s="23"/>
      <c r="C2003" s="23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</row>
    <row r="2004" spans="2:19" x14ac:dyDescent="0.15">
      <c r="B2004" s="23"/>
      <c r="C2004" s="23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</row>
    <row r="2005" spans="2:19" x14ac:dyDescent="0.15">
      <c r="B2005" s="23"/>
      <c r="C2005" s="23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</row>
    <row r="2006" spans="2:19" x14ac:dyDescent="0.15">
      <c r="B2006" s="23"/>
      <c r="C2006" s="23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</row>
    <row r="2007" spans="2:19" x14ac:dyDescent="0.15">
      <c r="B2007" s="23"/>
      <c r="C2007" s="23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</row>
    <row r="2008" spans="2:19" x14ac:dyDescent="0.15">
      <c r="B2008" s="23"/>
      <c r="C2008" s="23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</row>
    <row r="2009" spans="2:19" x14ac:dyDescent="0.15">
      <c r="B2009" s="23"/>
      <c r="C2009" s="23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</row>
    <row r="2010" spans="2:19" x14ac:dyDescent="0.15">
      <c r="B2010" s="23"/>
      <c r="C2010" s="23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</row>
    <row r="2011" spans="2:19" x14ac:dyDescent="0.15">
      <c r="B2011" s="23"/>
      <c r="C2011" s="23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</row>
    <row r="2012" spans="2:19" x14ac:dyDescent="0.15">
      <c r="B2012" s="23"/>
      <c r="C2012" s="23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</row>
    <row r="2013" spans="2:19" x14ac:dyDescent="0.15">
      <c r="B2013" s="23"/>
      <c r="C2013" s="23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</row>
    <row r="2014" spans="2:19" x14ac:dyDescent="0.15">
      <c r="B2014" s="23"/>
      <c r="C2014" s="23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</row>
    <row r="2015" spans="2:19" x14ac:dyDescent="0.15">
      <c r="B2015" s="23"/>
      <c r="C2015" s="23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</row>
    <row r="2016" spans="2:19" x14ac:dyDescent="0.15">
      <c r="B2016" s="23"/>
      <c r="C2016" s="23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</row>
    <row r="2017" spans="2:19" x14ac:dyDescent="0.15">
      <c r="B2017" s="23"/>
      <c r="C2017" s="23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</row>
    <row r="2018" spans="2:19" x14ac:dyDescent="0.15">
      <c r="B2018" s="23"/>
      <c r="C2018" s="23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</row>
    <row r="2019" spans="2:19" x14ac:dyDescent="0.15">
      <c r="B2019" s="23"/>
      <c r="C2019" s="23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</row>
    <row r="2020" spans="2:19" x14ac:dyDescent="0.15">
      <c r="B2020" s="23"/>
      <c r="C2020" s="23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</row>
    <row r="2021" spans="2:19" x14ac:dyDescent="0.15">
      <c r="B2021" s="23"/>
      <c r="C2021" s="23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</row>
    <row r="2022" spans="2:19" x14ac:dyDescent="0.15">
      <c r="B2022" s="23"/>
      <c r="C2022" s="23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</row>
    <row r="2023" spans="2:19" x14ac:dyDescent="0.15">
      <c r="B2023" s="23"/>
      <c r="C2023" s="23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</row>
    <row r="2024" spans="2:19" x14ac:dyDescent="0.15">
      <c r="B2024" s="23"/>
      <c r="C2024" s="23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</row>
    <row r="2025" spans="2:19" x14ac:dyDescent="0.15">
      <c r="B2025" s="23"/>
      <c r="C2025" s="23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</row>
    <row r="2026" spans="2:19" x14ac:dyDescent="0.15">
      <c r="B2026" s="23"/>
      <c r="C2026" s="23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</row>
    <row r="2027" spans="2:19" x14ac:dyDescent="0.15">
      <c r="B2027" s="23"/>
      <c r="C2027" s="23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</row>
    <row r="2028" spans="2:19" x14ac:dyDescent="0.15">
      <c r="B2028" s="23"/>
      <c r="C2028" s="23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</row>
    <row r="2029" spans="2:19" x14ac:dyDescent="0.15">
      <c r="B2029" s="23"/>
      <c r="C2029" s="23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</row>
    <row r="2030" spans="2:19" x14ac:dyDescent="0.15">
      <c r="B2030" s="23"/>
      <c r="C2030" s="23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</row>
    <row r="2031" spans="2:19" x14ac:dyDescent="0.15">
      <c r="B2031" s="23"/>
      <c r="C2031" s="23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</row>
    <row r="2032" spans="2:19" x14ac:dyDescent="0.15">
      <c r="B2032" s="23"/>
      <c r="C2032" s="23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</row>
    <row r="2033" spans="2:19" x14ac:dyDescent="0.15">
      <c r="B2033" s="23"/>
      <c r="C2033" s="23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</row>
    <row r="2034" spans="2:19" x14ac:dyDescent="0.15">
      <c r="B2034" s="23"/>
      <c r="C2034" s="23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</row>
    <row r="2035" spans="2:19" x14ac:dyDescent="0.15">
      <c r="B2035" s="23"/>
      <c r="C2035" s="23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</row>
    <row r="2036" spans="2:19" x14ac:dyDescent="0.15">
      <c r="B2036" s="23"/>
      <c r="C2036" s="23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</row>
    <row r="2037" spans="2:19" x14ac:dyDescent="0.15">
      <c r="B2037" s="23"/>
      <c r="C2037" s="23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</row>
    <row r="2038" spans="2:19" x14ac:dyDescent="0.15">
      <c r="B2038" s="23"/>
      <c r="C2038" s="23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</row>
    <row r="2039" spans="2:19" x14ac:dyDescent="0.15">
      <c r="B2039" s="23"/>
      <c r="C2039" s="23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</row>
    <row r="2040" spans="2:19" x14ac:dyDescent="0.15">
      <c r="B2040" s="23"/>
      <c r="C2040" s="23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</row>
    <row r="2041" spans="2:19" x14ac:dyDescent="0.15">
      <c r="B2041" s="23"/>
      <c r="C2041" s="23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</row>
    <row r="2042" spans="2:19" x14ac:dyDescent="0.15">
      <c r="B2042" s="23"/>
      <c r="C2042" s="23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</row>
    <row r="2043" spans="2:19" x14ac:dyDescent="0.15">
      <c r="B2043" s="23"/>
      <c r="C2043" s="23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</row>
    <row r="2044" spans="2:19" x14ac:dyDescent="0.15">
      <c r="B2044" s="23"/>
      <c r="C2044" s="23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</row>
    <row r="2045" spans="2:19" x14ac:dyDescent="0.15">
      <c r="B2045" s="23"/>
      <c r="C2045" s="23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</row>
    <row r="2046" spans="2:19" x14ac:dyDescent="0.15">
      <c r="B2046" s="23"/>
      <c r="C2046" s="23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</row>
    <row r="2047" spans="2:19" x14ac:dyDescent="0.15">
      <c r="B2047" s="23"/>
      <c r="C2047" s="23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</row>
    <row r="2048" spans="2:19" x14ac:dyDescent="0.15">
      <c r="B2048" s="23"/>
      <c r="C2048" s="23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</row>
    <row r="2049" spans="2:19" x14ac:dyDescent="0.15">
      <c r="B2049" s="23"/>
      <c r="C2049" s="23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</row>
    <row r="2050" spans="2:19" x14ac:dyDescent="0.15">
      <c r="B2050" s="23"/>
      <c r="C2050" s="23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</row>
    <row r="2051" spans="2:19" x14ac:dyDescent="0.15">
      <c r="B2051" s="23"/>
      <c r="C2051" s="23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</row>
    <row r="2052" spans="2:19" x14ac:dyDescent="0.15">
      <c r="B2052" s="23"/>
      <c r="C2052" s="23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</row>
    <row r="2053" spans="2:19" x14ac:dyDescent="0.15">
      <c r="B2053" s="23"/>
      <c r="C2053" s="23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</row>
    <row r="2054" spans="2:19" x14ac:dyDescent="0.15">
      <c r="B2054" s="23"/>
      <c r="C2054" s="23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</row>
    <row r="2055" spans="2:19" x14ac:dyDescent="0.15">
      <c r="B2055" s="23"/>
      <c r="C2055" s="23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</row>
    <row r="2056" spans="2:19" x14ac:dyDescent="0.15">
      <c r="B2056" s="23"/>
      <c r="C2056" s="23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</row>
    <row r="2057" spans="2:19" x14ac:dyDescent="0.15">
      <c r="B2057" s="23"/>
      <c r="C2057" s="23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</row>
    <row r="2058" spans="2:19" x14ac:dyDescent="0.15">
      <c r="B2058" s="23"/>
      <c r="C2058" s="23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</row>
    <row r="2059" spans="2:19" x14ac:dyDescent="0.15">
      <c r="B2059" s="23"/>
      <c r="C2059" s="23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</row>
    <row r="2060" spans="2:19" x14ac:dyDescent="0.15">
      <c r="B2060" s="23"/>
      <c r="C2060" s="23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</row>
    <row r="2061" spans="2:19" x14ac:dyDescent="0.15">
      <c r="B2061" s="23"/>
      <c r="C2061" s="23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</row>
    <row r="2062" spans="2:19" x14ac:dyDescent="0.15">
      <c r="B2062" s="23"/>
      <c r="C2062" s="23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</row>
    <row r="2063" spans="2:19" x14ac:dyDescent="0.15">
      <c r="B2063" s="23"/>
      <c r="C2063" s="23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</row>
    <row r="2064" spans="2:19" x14ac:dyDescent="0.15">
      <c r="B2064" s="23"/>
      <c r="C2064" s="23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</row>
    <row r="2065" spans="2:19" x14ac:dyDescent="0.15">
      <c r="B2065" s="23"/>
      <c r="C2065" s="23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</row>
    <row r="2066" spans="2:19" x14ac:dyDescent="0.15">
      <c r="B2066" s="23"/>
      <c r="C2066" s="23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</row>
    <row r="2067" spans="2:19" x14ac:dyDescent="0.15">
      <c r="B2067" s="23"/>
      <c r="C2067" s="23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</row>
    <row r="2068" spans="2:19" x14ac:dyDescent="0.15">
      <c r="B2068" s="23"/>
      <c r="C2068" s="23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</row>
    <row r="2069" spans="2:19" x14ac:dyDescent="0.15">
      <c r="B2069" s="23"/>
      <c r="C2069" s="23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</row>
    <row r="2070" spans="2:19" x14ac:dyDescent="0.15">
      <c r="B2070" s="23"/>
      <c r="C2070" s="23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</row>
    <row r="2071" spans="2:19" x14ac:dyDescent="0.15">
      <c r="B2071" s="23"/>
      <c r="C2071" s="23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</row>
    <row r="2072" spans="2:19" x14ac:dyDescent="0.15">
      <c r="B2072" s="23"/>
      <c r="C2072" s="23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</row>
    <row r="2073" spans="2:19" x14ac:dyDescent="0.15">
      <c r="B2073" s="23"/>
      <c r="C2073" s="23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</row>
    <row r="2074" spans="2:19" x14ac:dyDescent="0.15">
      <c r="B2074" s="23"/>
      <c r="C2074" s="23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</row>
    <row r="2075" spans="2:19" x14ac:dyDescent="0.15">
      <c r="B2075" s="23"/>
      <c r="C2075" s="23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</row>
    <row r="2076" spans="2:19" x14ac:dyDescent="0.15">
      <c r="B2076" s="23"/>
      <c r="C2076" s="23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</row>
    <row r="2077" spans="2:19" x14ac:dyDescent="0.15">
      <c r="B2077" s="23"/>
      <c r="C2077" s="23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</row>
    <row r="2078" spans="2:19" x14ac:dyDescent="0.15">
      <c r="B2078" s="23"/>
      <c r="C2078" s="23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</row>
    <row r="2079" spans="2:19" x14ac:dyDescent="0.15">
      <c r="B2079" s="23"/>
      <c r="C2079" s="23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</row>
    <row r="2080" spans="2:19" x14ac:dyDescent="0.15">
      <c r="B2080" s="23"/>
      <c r="C2080" s="23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</row>
    <row r="2081" spans="2:19" x14ac:dyDescent="0.15">
      <c r="B2081" s="23"/>
      <c r="C2081" s="23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</row>
    <row r="2082" spans="2:19" x14ac:dyDescent="0.15">
      <c r="B2082" s="23"/>
      <c r="C2082" s="23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</row>
    <row r="2083" spans="2:19" x14ac:dyDescent="0.15">
      <c r="B2083" s="23"/>
      <c r="C2083" s="23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</row>
    <row r="2084" spans="2:19" x14ac:dyDescent="0.15">
      <c r="B2084" s="23"/>
      <c r="C2084" s="23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</row>
    <row r="2085" spans="2:19" x14ac:dyDescent="0.15">
      <c r="B2085" s="23"/>
      <c r="C2085" s="23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</row>
    <row r="2086" spans="2:19" x14ac:dyDescent="0.15">
      <c r="B2086" s="23"/>
      <c r="C2086" s="23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</row>
    <row r="2087" spans="2:19" x14ac:dyDescent="0.15">
      <c r="B2087" s="23"/>
      <c r="C2087" s="23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</row>
    <row r="2088" spans="2:19" x14ac:dyDescent="0.15">
      <c r="B2088" s="23"/>
      <c r="C2088" s="23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</row>
    <row r="2089" spans="2:19" x14ac:dyDescent="0.15">
      <c r="B2089" s="23"/>
      <c r="C2089" s="23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</row>
    <row r="2090" spans="2:19" x14ac:dyDescent="0.15">
      <c r="B2090" s="23"/>
      <c r="C2090" s="23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</row>
    <row r="2091" spans="2:19" x14ac:dyDescent="0.15">
      <c r="B2091" s="23"/>
      <c r="C2091" s="23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</row>
    <row r="2092" spans="2:19" x14ac:dyDescent="0.15">
      <c r="B2092" s="23"/>
      <c r="C2092" s="23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</row>
    <row r="2093" spans="2:19" x14ac:dyDescent="0.15">
      <c r="B2093" s="23"/>
      <c r="C2093" s="23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</row>
    <row r="2094" spans="2:19" x14ac:dyDescent="0.15">
      <c r="B2094" s="23"/>
      <c r="C2094" s="23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</row>
    <row r="2095" spans="2:19" x14ac:dyDescent="0.15">
      <c r="B2095" s="23"/>
      <c r="C2095" s="23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</row>
    <row r="2096" spans="2:19" x14ac:dyDescent="0.15">
      <c r="B2096" s="23"/>
      <c r="C2096" s="23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</row>
    <row r="2097" spans="2:19" x14ac:dyDescent="0.15">
      <c r="B2097" s="23"/>
      <c r="C2097" s="23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</row>
    <row r="2098" spans="2:19" x14ac:dyDescent="0.15">
      <c r="B2098" s="23"/>
      <c r="C2098" s="23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</row>
    <row r="2099" spans="2:19" x14ac:dyDescent="0.15">
      <c r="B2099" s="23"/>
      <c r="C2099" s="23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</row>
    <row r="2100" spans="2:19" x14ac:dyDescent="0.15">
      <c r="B2100" s="23"/>
      <c r="C2100" s="23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</row>
    <row r="2101" spans="2:19" x14ac:dyDescent="0.15">
      <c r="B2101" s="23"/>
      <c r="C2101" s="23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</row>
    <row r="2102" spans="2:19" x14ac:dyDescent="0.15">
      <c r="B2102" s="23"/>
      <c r="C2102" s="23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</row>
    <row r="2103" spans="2:19" x14ac:dyDescent="0.15">
      <c r="B2103" s="23"/>
      <c r="C2103" s="23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</row>
    <row r="2104" spans="2:19" x14ac:dyDescent="0.15">
      <c r="B2104" s="23"/>
      <c r="C2104" s="23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</row>
    <row r="2105" spans="2:19" x14ac:dyDescent="0.15">
      <c r="B2105" s="23"/>
      <c r="C2105" s="23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</row>
    <row r="2106" spans="2:19" x14ac:dyDescent="0.15">
      <c r="B2106" s="23"/>
      <c r="C2106" s="23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</row>
    <row r="2107" spans="2:19" x14ac:dyDescent="0.15">
      <c r="B2107" s="23"/>
      <c r="C2107" s="23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</row>
    <row r="2108" spans="2:19" x14ac:dyDescent="0.15">
      <c r="B2108" s="23"/>
      <c r="C2108" s="23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</row>
    <row r="2109" spans="2:19" x14ac:dyDescent="0.15">
      <c r="B2109" s="23"/>
      <c r="C2109" s="23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</row>
    <row r="2110" spans="2:19" x14ac:dyDescent="0.15">
      <c r="B2110" s="23"/>
      <c r="C2110" s="23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</row>
    <row r="2111" spans="2:19" x14ac:dyDescent="0.15">
      <c r="B2111" s="23"/>
      <c r="C2111" s="23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</row>
    <row r="2112" spans="2:19" x14ac:dyDescent="0.15">
      <c r="B2112" s="23"/>
      <c r="C2112" s="23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</row>
    <row r="2113" spans="2:19" x14ac:dyDescent="0.15">
      <c r="B2113" s="23"/>
      <c r="C2113" s="23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</row>
    <row r="2114" spans="2:19" x14ac:dyDescent="0.15">
      <c r="B2114" s="23"/>
      <c r="C2114" s="23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</row>
    <row r="2115" spans="2:19" x14ac:dyDescent="0.15">
      <c r="B2115" s="23"/>
      <c r="C2115" s="23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</row>
    <row r="2116" spans="2:19" x14ac:dyDescent="0.15">
      <c r="B2116" s="23"/>
      <c r="C2116" s="23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</row>
    <row r="2117" spans="2:19" x14ac:dyDescent="0.15">
      <c r="B2117" s="23"/>
      <c r="C2117" s="23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</row>
    <row r="2118" spans="2:19" x14ac:dyDescent="0.15">
      <c r="B2118" s="23"/>
      <c r="C2118" s="23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</row>
    <row r="2119" spans="2:19" x14ac:dyDescent="0.15">
      <c r="B2119" s="23"/>
      <c r="C2119" s="23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</row>
    <row r="2120" spans="2:19" x14ac:dyDescent="0.15">
      <c r="B2120" s="23"/>
      <c r="C2120" s="23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</row>
    <row r="2121" spans="2:19" x14ac:dyDescent="0.15">
      <c r="B2121" s="23"/>
      <c r="C2121" s="23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</row>
    <row r="2122" spans="2:19" x14ac:dyDescent="0.15">
      <c r="B2122" s="23"/>
      <c r="C2122" s="23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</row>
    <row r="2123" spans="2:19" x14ac:dyDescent="0.15">
      <c r="B2123" s="23"/>
      <c r="C2123" s="23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</row>
    <row r="2124" spans="2:19" x14ac:dyDescent="0.15">
      <c r="B2124" s="23"/>
      <c r="C2124" s="23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</row>
    <row r="2125" spans="2:19" x14ac:dyDescent="0.15">
      <c r="B2125" s="23"/>
      <c r="C2125" s="23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</row>
    <row r="2126" spans="2:19" x14ac:dyDescent="0.15">
      <c r="B2126" s="23"/>
      <c r="C2126" s="23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</row>
    <row r="2127" spans="2:19" x14ac:dyDescent="0.15">
      <c r="B2127" s="23"/>
      <c r="C2127" s="23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</row>
    <row r="2128" spans="2:19" x14ac:dyDescent="0.15">
      <c r="B2128" s="23"/>
      <c r="C2128" s="23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</row>
    <row r="2129" spans="2:19" x14ac:dyDescent="0.15">
      <c r="B2129" s="23"/>
      <c r="C2129" s="23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</row>
    <row r="2130" spans="2:19" x14ac:dyDescent="0.15">
      <c r="B2130" s="23"/>
      <c r="C2130" s="23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</row>
    <row r="2131" spans="2:19" x14ac:dyDescent="0.15">
      <c r="B2131" s="23"/>
      <c r="C2131" s="23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</row>
    <row r="2132" spans="2:19" x14ac:dyDescent="0.15">
      <c r="B2132" s="23"/>
      <c r="C2132" s="23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</row>
    <row r="2133" spans="2:19" x14ac:dyDescent="0.15">
      <c r="B2133" s="23"/>
      <c r="C2133" s="23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</row>
    <row r="2134" spans="2:19" x14ac:dyDescent="0.15">
      <c r="B2134" s="23"/>
      <c r="C2134" s="23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</row>
    <row r="2135" spans="2:19" x14ac:dyDescent="0.15">
      <c r="B2135" s="23"/>
      <c r="C2135" s="23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</row>
    <row r="2136" spans="2:19" x14ac:dyDescent="0.15">
      <c r="B2136" s="23"/>
      <c r="C2136" s="23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</row>
    <row r="2137" spans="2:19" x14ac:dyDescent="0.15">
      <c r="B2137" s="23"/>
      <c r="C2137" s="23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</row>
    <row r="2138" spans="2:19" x14ac:dyDescent="0.15">
      <c r="B2138" s="23"/>
      <c r="C2138" s="23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</row>
    <row r="2139" spans="2:19" x14ac:dyDescent="0.15">
      <c r="B2139" s="23"/>
      <c r="C2139" s="23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</row>
    <row r="2140" spans="2:19" x14ac:dyDescent="0.15">
      <c r="B2140" s="23"/>
      <c r="C2140" s="23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</row>
    <row r="2141" spans="2:19" x14ac:dyDescent="0.15">
      <c r="B2141" s="23"/>
      <c r="C2141" s="23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</row>
    <row r="2142" spans="2:19" x14ac:dyDescent="0.15">
      <c r="B2142" s="23"/>
      <c r="C2142" s="23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</row>
    <row r="2143" spans="2:19" x14ac:dyDescent="0.15">
      <c r="B2143" s="23"/>
      <c r="C2143" s="23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</row>
    <row r="2144" spans="2:19" x14ac:dyDescent="0.15">
      <c r="B2144" s="23"/>
      <c r="C2144" s="23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</row>
    <row r="2145" spans="2:19" x14ac:dyDescent="0.15">
      <c r="B2145" s="23"/>
      <c r="C2145" s="23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</row>
    <row r="2146" spans="2:19" x14ac:dyDescent="0.15">
      <c r="B2146" s="23"/>
      <c r="C2146" s="23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</row>
    <row r="2147" spans="2:19" x14ac:dyDescent="0.15">
      <c r="B2147" s="23"/>
      <c r="C2147" s="23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</row>
    <row r="2148" spans="2:19" x14ac:dyDescent="0.15">
      <c r="B2148" s="23"/>
      <c r="C2148" s="23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</row>
    <row r="2149" spans="2:19" x14ac:dyDescent="0.15">
      <c r="B2149" s="23"/>
      <c r="C2149" s="23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</row>
    <row r="2150" spans="2:19" x14ac:dyDescent="0.15">
      <c r="B2150" s="23"/>
      <c r="C2150" s="23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</row>
    <row r="2151" spans="2:19" x14ac:dyDescent="0.15">
      <c r="B2151" s="23"/>
      <c r="C2151" s="23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</row>
    <row r="2152" spans="2:19" x14ac:dyDescent="0.15">
      <c r="B2152" s="23"/>
      <c r="C2152" s="23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</row>
    <row r="2153" spans="2:19" x14ac:dyDescent="0.15">
      <c r="B2153" s="23"/>
      <c r="C2153" s="23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</row>
    <row r="2154" spans="2:19" x14ac:dyDescent="0.15">
      <c r="B2154" s="23"/>
      <c r="C2154" s="23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</row>
    <row r="2155" spans="2:19" x14ac:dyDescent="0.15">
      <c r="B2155" s="23"/>
      <c r="C2155" s="23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</row>
    <row r="2156" spans="2:19" x14ac:dyDescent="0.15">
      <c r="B2156" s="23"/>
      <c r="C2156" s="23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</row>
    <row r="2157" spans="2:19" x14ac:dyDescent="0.15">
      <c r="B2157" s="23"/>
      <c r="C2157" s="23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</row>
    <row r="2158" spans="2:19" x14ac:dyDescent="0.15">
      <c r="B2158" s="23"/>
      <c r="C2158" s="23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</row>
    <row r="2159" spans="2:19" x14ac:dyDescent="0.15">
      <c r="B2159" s="23"/>
      <c r="C2159" s="23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</row>
    <row r="2160" spans="2:19" x14ac:dyDescent="0.15">
      <c r="B2160" s="23"/>
      <c r="C2160" s="23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</row>
    <row r="2161" spans="2:19" x14ac:dyDescent="0.15">
      <c r="B2161" s="23"/>
      <c r="C2161" s="23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</row>
    <row r="2162" spans="2:19" x14ac:dyDescent="0.15">
      <c r="B2162" s="23"/>
      <c r="C2162" s="23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</row>
    <row r="2163" spans="2:19" x14ac:dyDescent="0.15">
      <c r="B2163" s="23"/>
      <c r="C2163" s="23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</row>
    <row r="2164" spans="2:19" x14ac:dyDescent="0.15">
      <c r="B2164" s="23"/>
      <c r="C2164" s="23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</row>
    <row r="2165" spans="2:19" x14ac:dyDescent="0.15">
      <c r="B2165" s="23"/>
      <c r="C2165" s="23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</row>
    <row r="2166" spans="2:19" x14ac:dyDescent="0.15">
      <c r="B2166" s="23"/>
      <c r="C2166" s="23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</row>
    <row r="2167" spans="2:19" x14ac:dyDescent="0.15">
      <c r="B2167" s="23"/>
      <c r="C2167" s="23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</row>
    <row r="2168" spans="2:19" x14ac:dyDescent="0.15">
      <c r="B2168" s="23"/>
      <c r="C2168" s="23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</row>
    <row r="2169" spans="2:19" x14ac:dyDescent="0.15">
      <c r="B2169" s="23"/>
      <c r="C2169" s="23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</row>
    <row r="2170" spans="2:19" x14ac:dyDescent="0.15">
      <c r="B2170" s="23"/>
      <c r="C2170" s="23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</row>
    <row r="2171" spans="2:19" x14ac:dyDescent="0.15">
      <c r="B2171" s="23"/>
      <c r="C2171" s="23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</row>
    <row r="2172" spans="2:19" x14ac:dyDescent="0.15">
      <c r="B2172" s="23"/>
      <c r="C2172" s="23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</row>
    <row r="2173" spans="2:19" x14ac:dyDescent="0.15">
      <c r="B2173" s="23"/>
      <c r="C2173" s="23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</row>
    <row r="2174" spans="2:19" x14ac:dyDescent="0.15">
      <c r="B2174" s="23"/>
      <c r="C2174" s="23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</row>
    <row r="2175" spans="2:19" x14ac:dyDescent="0.15">
      <c r="B2175" s="23"/>
      <c r="C2175" s="23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</row>
    <row r="2176" spans="2:19" x14ac:dyDescent="0.15">
      <c r="B2176" s="23"/>
      <c r="C2176" s="23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</row>
    <row r="2177" spans="2:19" x14ac:dyDescent="0.15">
      <c r="B2177" s="23"/>
      <c r="C2177" s="23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</row>
    <row r="2178" spans="2:19" x14ac:dyDescent="0.15">
      <c r="B2178" s="23"/>
      <c r="C2178" s="23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</row>
    <row r="2179" spans="2:19" x14ac:dyDescent="0.15">
      <c r="B2179" s="23"/>
      <c r="C2179" s="23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</row>
    <row r="2180" spans="2:19" x14ac:dyDescent="0.15">
      <c r="B2180" s="23"/>
      <c r="C2180" s="23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</row>
    <row r="2181" spans="2:19" x14ac:dyDescent="0.15">
      <c r="B2181" s="23"/>
      <c r="C2181" s="23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</row>
    <row r="2182" spans="2:19" x14ac:dyDescent="0.15">
      <c r="B2182" s="23"/>
      <c r="C2182" s="23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</row>
    <row r="2183" spans="2:19" x14ac:dyDescent="0.15">
      <c r="B2183" s="23"/>
      <c r="C2183" s="23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</row>
    <row r="2184" spans="2:19" x14ac:dyDescent="0.15">
      <c r="B2184" s="23"/>
      <c r="C2184" s="23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</row>
    <row r="2185" spans="2:19" x14ac:dyDescent="0.15">
      <c r="B2185" s="23"/>
      <c r="C2185" s="23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</row>
    <row r="2186" spans="2:19" x14ac:dyDescent="0.15">
      <c r="B2186" s="23"/>
      <c r="C2186" s="23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</row>
    <row r="2187" spans="2:19" x14ac:dyDescent="0.15">
      <c r="B2187" s="23"/>
      <c r="C2187" s="23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</row>
    <row r="2188" spans="2:19" x14ac:dyDescent="0.15">
      <c r="B2188" s="23"/>
      <c r="C2188" s="23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</row>
    <row r="2189" spans="2:19" x14ac:dyDescent="0.15">
      <c r="B2189" s="23"/>
      <c r="C2189" s="23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</row>
    <row r="2190" spans="2:19" x14ac:dyDescent="0.15">
      <c r="B2190" s="23"/>
      <c r="C2190" s="23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</row>
    <row r="2191" spans="2:19" x14ac:dyDescent="0.15">
      <c r="B2191" s="23"/>
      <c r="C2191" s="23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</row>
    <row r="2192" spans="2:19" x14ac:dyDescent="0.15">
      <c r="B2192" s="23"/>
      <c r="C2192" s="23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</row>
    <row r="2193" spans="2:19" x14ac:dyDescent="0.15">
      <c r="B2193" s="23"/>
      <c r="C2193" s="23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</row>
    <row r="2194" spans="2:19" x14ac:dyDescent="0.15">
      <c r="B2194" s="23"/>
      <c r="C2194" s="23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</row>
    <row r="2195" spans="2:19" x14ac:dyDescent="0.15">
      <c r="B2195" s="23"/>
      <c r="C2195" s="23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</row>
    <row r="2196" spans="2:19" x14ac:dyDescent="0.15">
      <c r="B2196" s="23"/>
      <c r="C2196" s="23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</row>
    <row r="2197" spans="2:19" x14ac:dyDescent="0.15">
      <c r="B2197" s="23"/>
      <c r="C2197" s="23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</row>
    <row r="2198" spans="2:19" x14ac:dyDescent="0.15">
      <c r="B2198" s="23"/>
      <c r="C2198" s="23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</row>
    <row r="2199" spans="2:19" x14ac:dyDescent="0.15">
      <c r="B2199" s="23"/>
      <c r="C2199" s="23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</row>
    <row r="2200" spans="2:19" x14ac:dyDescent="0.15">
      <c r="B2200" s="23"/>
      <c r="C2200" s="23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</row>
    <row r="2201" spans="2:19" x14ac:dyDescent="0.15">
      <c r="B2201" s="23"/>
      <c r="C2201" s="23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</row>
    <row r="2202" spans="2:19" x14ac:dyDescent="0.15">
      <c r="B2202" s="23"/>
      <c r="C2202" s="23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</row>
    <row r="2203" spans="2:19" x14ac:dyDescent="0.15">
      <c r="B2203" s="23"/>
      <c r="C2203" s="23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</row>
    <row r="2204" spans="2:19" x14ac:dyDescent="0.15">
      <c r="B2204" s="23"/>
      <c r="C2204" s="23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</row>
    <row r="2205" spans="2:19" x14ac:dyDescent="0.15">
      <c r="B2205" s="23"/>
      <c r="C2205" s="23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</row>
    <row r="2206" spans="2:19" x14ac:dyDescent="0.15">
      <c r="B2206" s="23"/>
      <c r="C2206" s="23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</row>
    <row r="2207" spans="2:19" x14ac:dyDescent="0.15">
      <c r="B2207" s="23"/>
      <c r="C2207" s="23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</row>
    <row r="2208" spans="2:19" x14ac:dyDescent="0.15">
      <c r="B2208" s="23"/>
      <c r="C2208" s="23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</row>
    <row r="2209" spans="2:19" x14ac:dyDescent="0.15">
      <c r="B2209" s="23"/>
      <c r="C2209" s="23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</row>
    <row r="2210" spans="2:19" x14ac:dyDescent="0.15">
      <c r="B2210" s="23"/>
      <c r="C2210" s="23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</row>
    <row r="2211" spans="2:19" x14ac:dyDescent="0.15">
      <c r="B2211" s="23"/>
      <c r="C2211" s="23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</row>
    <row r="2212" spans="2:19" x14ac:dyDescent="0.15">
      <c r="B2212" s="23"/>
      <c r="C2212" s="23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</row>
    <row r="2213" spans="2:19" x14ac:dyDescent="0.15">
      <c r="B2213" s="23"/>
      <c r="C2213" s="23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</row>
    <row r="2214" spans="2:19" x14ac:dyDescent="0.15">
      <c r="B2214" s="23"/>
      <c r="C2214" s="23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</row>
    <row r="2215" spans="2:19" x14ac:dyDescent="0.15">
      <c r="B2215" s="23"/>
      <c r="C2215" s="23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</row>
    <row r="2216" spans="2:19" x14ac:dyDescent="0.15">
      <c r="B2216" s="23"/>
      <c r="C2216" s="23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</row>
    <row r="2217" spans="2:19" x14ac:dyDescent="0.15">
      <c r="B2217" s="23"/>
      <c r="C2217" s="23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</row>
    <row r="2218" spans="2:19" x14ac:dyDescent="0.15">
      <c r="B2218" s="23"/>
      <c r="C2218" s="23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</row>
    <row r="2219" spans="2:19" x14ac:dyDescent="0.15">
      <c r="B2219" s="23"/>
      <c r="C2219" s="23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</row>
    <row r="2220" spans="2:19" x14ac:dyDescent="0.15">
      <c r="B2220" s="23"/>
      <c r="C2220" s="23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</row>
    <row r="2221" spans="2:19" x14ac:dyDescent="0.15">
      <c r="B2221" s="23"/>
      <c r="C2221" s="23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</row>
    <row r="2222" spans="2:19" x14ac:dyDescent="0.15">
      <c r="B2222" s="23"/>
      <c r="C2222" s="23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</row>
    <row r="2223" spans="2:19" x14ac:dyDescent="0.15">
      <c r="B2223" s="23"/>
      <c r="C2223" s="23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</row>
    <row r="2224" spans="2:19" x14ac:dyDescent="0.15">
      <c r="B2224" s="23"/>
      <c r="C2224" s="23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</row>
    <row r="2225" spans="2:19" x14ac:dyDescent="0.15">
      <c r="B2225" s="23"/>
      <c r="C2225" s="23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</row>
    <row r="2226" spans="2:19" x14ac:dyDescent="0.15">
      <c r="B2226" s="23"/>
      <c r="C2226" s="23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</row>
    <row r="2227" spans="2:19" x14ac:dyDescent="0.15">
      <c r="B2227" s="23"/>
      <c r="C2227" s="23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</row>
    <row r="2228" spans="2:19" x14ac:dyDescent="0.15">
      <c r="B2228" s="23"/>
      <c r="C2228" s="23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</row>
    <row r="2229" spans="2:19" x14ac:dyDescent="0.15">
      <c r="B2229" s="23"/>
      <c r="C2229" s="23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</row>
    <row r="2230" spans="2:19" x14ac:dyDescent="0.15">
      <c r="B2230" s="23"/>
      <c r="C2230" s="23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</row>
    <row r="2231" spans="2:19" x14ac:dyDescent="0.15">
      <c r="B2231" s="23"/>
      <c r="C2231" s="23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</row>
    <row r="2232" spans="2:19" x14ac:dyDescent="0.15">
      <c r="B2232" s="23"/>
      <c r="C2232" s="23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</row>
    <row r="2233" spans="2:19" x14ac:dyDescent="0.15">
      <c r="B2233" s="23"/>
      <c r="C2233" s="23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</row>
    <row r="2234" spans="2:19" x14ac:dyDescent="0.15">
      <c r="B2234" s="23"/>
      <c r="C2234" s="23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</row>
    <row r="2235" spans="2:19" x14ac:dyDescent="0.15">
      <c r="B2235" s="23"/>
      <c r="C2235" s="23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</row>
    <row r="2236" spans="2:19" x14ac:dyDescent="0.15">
      <c r="B2236" s="23"/>
      <c r="C2236" s="23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</row>
    <row r="2237" spans="2:19" x14ac:dyDescent="0.15">
      <c r="B2237" s="23"/>
      <c r="C2237" s="23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</row>
    <row r="2238" spans="2:19" x14ac:dyDescent="0.15">
      <c r="B2238" s="23"/>
      <c r="C2238" s="23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</row>
    <row r="2239" spans="2:19" x14ac:dyDescent="0.15">
      <c r="B2239" s="23"/>
      <c r="C2239" s="23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</row>
    <row r="2240" spans="2:19" x14ac:dyDescent="0.15">
      <c r="B2240" s="23"/>
      <c r="C2240" s="23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</row>
    <row r="2241" spans="2:19" x14ac:dyDescent="0.15">
      <c r="B2241" s="23"/>
      <c r="C2241" s="23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</row>
    <row r="2242" spans="2:19" x14ac:dyDescent="0.15">
      <c r="B2242" s="23"/>
      <c r="C2242" s="23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</row>
    <row r="2243" spans="2:19" x14ac:dyDescent="0.15">
      <c r="B2243" s="23"/>
      <c r="C2243" s="23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</row>
    <row r="2244" spans="2:19" x14ac:dyDescent="0.15">
      <c r="B2244" s="23"/>
      <c r="C2244" s="23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</row>
    <row r="2245" spans="2:19" x14ac:dyDescent="0.15">
      <c r="B2245" s="23"/>
      <c r="C2245" s="23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</row>
    <row r="2246" spans="2:19" x14ac:dyDescent="0.15">
      <c r="B2246" s="23"/>
      <c r="C2246" s="23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</row>
    <row r="2247" spans="2:19" x14ac:dyDescent="0.15">
      <c r="B2247" s="23"/>
      <c r="C2247" s="23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</row>
    <row r="2248" spans="2:19" x14ac:dyDescent="0.15">
      <c r="B2248" s="23"/>
      <c r="C2248" s="23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</row>
    <row r="2249" spans="2:19" x14ac:dyDescent="0.15">
      <c r="B2249" s="23"/>
      <c r="C2249" s="23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</row>
    <row r="2250" spans="2:19" x14ac:dyDescent="0.15">
      <c r="B2250" s="23"/>
      <c r="C2250" s="23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</row>
    <row r="2251" spans="2:19" x14ac:dyDescent="0.15">
      <c r="B2251" s="23"/>
      <c r="C2251" s="23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</row>
    <row r="2252" spans="2:19" x14ac:dyDescent="0.15">
      <c r="B2252" s="23"/>
      <c r="C2252" s="23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</row>
    <row r="2253" spans="2:19" x14ac:dyDescent="0.15">
      <c r="B2253" s="23"/>
      <c r="C2253" s="23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</row>
    <row r="2254" spans="2:19" x14ac:dyDescent="0.15">
      <c r="B2254" s="23"/>
      <c r="C2254" s="23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</row>
    <row r="2255" spans="2:19" x14ac:dyDescent="0.15">
      <c r="B2255" s="23"/>
      <c r="C2255" s="23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</row>
    <row r="2256" spans="2:19" x14ac:dyDescent="0.15">
      <c r="B2256" s="23"/>
      <c r="C2256" s="23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</row>
    <row r="2257" spans="2:19" x14ac:dyDescent="0.15">
      <c r="B2257" s="23"/>
      <c r="C2257" s="23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</row>
    <row r="2258" spans="2:19" x14ac:dyDescent="0.15">
      <c r="B2258" s="23"/>
      <c r="C2258" s="23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</row>
    <row r="2259" spans="2:19" x14ac:dyDescent="0.15">
      <c r="B2259" s="23"/>
      <c r="C2259" s="23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</row>
    <row r="2260" spans="2:19" x14ac:dyDescent="0.15">
      <c r="B2260" s="23"/>
      <c r="C2260" s="23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</row>
    <row r="2261" spans="2:19" x14ac:dyDescent="0.15">
      <c r="B2261" s="23"/>
      <c r="C2261" s="23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</row>
    <row r="2262" spans="2:19" x14ac:dyDescent="0.15">
      <c r="B2262" s="23"/>
      <c r="C2262" s="23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</row>
    <row r="2263" spans="2:19" x14ac:dyDescent="0.15">
      <c r="B2263" s="23"/>
      <c r="C2263" s="23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</row>
    <row r="2264" spans="2:19" x14ac:dyDescent="0.15">
      <c r="B2264" s="23"/>
      <c r="C2264" s="23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</row>
    <row r="2265" spans="2:19" x14ac:dyDescent="0.15">
      <c r="B2265" s="23"/>
      <c r="C2265" s="23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</row>
    <row r="2266" spans="2:19" x14ac:dyDescent="0.15">
      <c r="B2266" s="23"/>
      <c r="C2266" s="23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</row>
    <row r="2267" spans="2:19" x14ac:dyDescent="0.15">
      <c r="B2267" s="23"/>
      <c r="C2267" s="23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</row>
    <row r="2268" spans="2:19" x14ac:dyDescent="0.15">
      <c r="B2268" s="23"/>
      <c r="C2268" s="23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</row>
    <row r="2269" spans="2:19" x14ac:dyDescent="0.15">
      <c r="B2269" s="23"/>
      <c r="C2269" s="23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</row>
    <row r="2270" spans="2:19" x14ac:dyDescent="0.15">
      <c r="B2270" s="23"/>
      <c r="C2270" s="23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</row>
    <row r="2271" spans="2:19" x14ac:dyDescent="0.15">
      <c r="B2271" s="23"/>
      <c r="C2271" s="23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</row>
    <row r="2272" spans="2:19" x14ac:dyDescent="0.15">
      <c r="B2272" s="23"/>
      <c r="C2272" s="23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</row>
    <row r="2273" spans="2:19" x14ac:dyDescent="0.15">
      <c r="B2273" s="23"/>
      <c r="C2273" s="23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</row>
    <row r="2274" spans="2:19" x14ac:dyDescent="0.15">
      <c r="B2274" s="23"/>
      <c r="C2274" s="23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</row>
    <row r="2275" spans="2:19" x14ac:dyDescent="0.15">
      <c r="B2275" s="23"/>
      <c r="C2275" s="23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</row>
    <row r="2276" spans="2:19" x14ac:dyDescent="0.15">
      <c r="B2276" s="23"/>
      <c r="C2276" s="23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</row>
    <row r="2277" spans="2:19" x14ac:dyDescent="0.15">
      <c r="B2277" s="23"/>
      <c r="C2277" s="23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</row>
    <row r="2278" spans="2:19" x14ac:dyDescent="0.15">
      <c r="B2278" s="23"/>
      <c r="C2278" s="23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</row>
    <row r="2279" spans="2:19" x14ac:dyDescent="0.15">
      <c r="B2279" s="23"/>
      <c r="C2279" s="23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</row>
    <row r="2280" spans="2:19" x14ac:dyDescent="0.15">
      <c r="B2280" s="23"/>
      <c r="C2280" s="23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</row>
    <row r="2281" spans="2:19" x14ac:dyDescent="0.15">
      <c r="B2281" s="23"/>
      <c r="C2281" s="23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</row>
    <row r="2282" spans="2:19" x14ac:dyDescent="0.15">
      <c r="B2282" s="23"/>
      <c r="C2282" s="23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</row>
    <row r="2283" spans="2:19" x14ac:dyDescent="0.15">
      <c r="B2283" s="23"/>
      <c r="C2283" s="23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</row>
    <row r="2284" spans="2:19" x14ac:dyDescent="0.15">
      <c r="B2284" s="23"/>
      <c r="C2284" s="23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</row>
    <row r="2285" spans="2:19" x14ac:dyDescent="0.15">
      <c r="B2285" s="23"/>
      <c r="C2285" s="23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</row>
    <row r="2286" spans="2:19" x14ac:dyDescent="0.15">
      <c r="B2286" s="23"/>
      <c r="C2286" s="23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</row>
    <row r="2287" spans="2:19" x14ac:dyDescent="0.15">
      <c r="B2287" s="23"/>
      <c r="C2287" s="23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</row>
    <row r="2288" spans="2:19" x14ac:dyDescent="0.15">
      <c r="B2288" s="23"/>
      <c r="C2288" s="23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</row>
    <row r="2289" spans="2:19" x14ac:dyDescent="0.15">
      <c r="B2289" s="23"/>
      <c r="C2289" s="23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</row>
    <row r="2290" spans="2:19" x14ac:dyDescent="0.15">
      <c r="B2290" s="23"/>
      <c r="C2290" s="23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</row>
    <row r="2291" spans="2:19" x14ac:dyDescent="0.15">
      <c r="B2291" s="23"/>
      <c r="C2291" s="23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</row>
    <row r="2292" spans="2:19" x14ac:dyDescent="0.15">
      <c r="B2292" s="23"/>
      <c r="C2292" s="23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</row>
    <row r="2293" spans="2:19" x14ac:dyDescent="0.15">
      <c r="B2293" s="23"/>
      <c r="C2293" s="23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</row>
    <row r="2294" spans="2:19" x14ac:dyDescent="0.15">
      <c r="B2294" s="23"/>
      <c r="C2294" s="23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</row>
    <row r="2295" spans="2:19" x14ac:dyDescent="0.15">
      <c r="B2295" s="23"/>
      <c r="C2295" s="23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</row>
    <row r="2296" spans="2:19" x14ac:dyDescent="0.15">
      <c r="B2296" s="23"/>
      <c r="C2296" s="23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</row>
    <row r="2297" spans="2:19" x14ac:dyDescent="0.15">
      <c r="B2297" s="23"/>
      <c r="C2297" s="23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</row>
    <row r="2298" spans="2:19" x14ac:dyDescent="0.15">
      <c r="B2298" s="23"/>
      <c r="C2298" s="23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</row>
    <row r="2299" spans="2:19" x14ac:dyDescent="0.15">
      <c r="B2299" s="23"/>
      <c r="C2299" s="23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</row>
    <row r="2300" spans="2:19" x14ac:dyDescent="0.15">
      <c r="B2300" s="23"/>
      <c r="C2300" s="23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</row>
    <row r="2301" spans="2:19" x14ac:dyDescent="0.15">
      <c r="B2301" s="23"/>
      <c r="C2301" s="23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</row>
    <row r="2302" spans="2:19" x14ac:dyDescent="0.15">
      <c r="B2302" s="23"/>
      <c r="C2302" s="23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</row>
    <row r="2303" spans="2:19" x14ac:dyDescent="0.15">
      <c r="B2303" s="23"/>
      <c r="C2303" s="23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</row>
    <row r="2304" spans="2:19" x14ac:dyDescent="0.15">
      <c r="B2304" s="23"/>
      <c r="C2304" s="23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</row>
    <row r="2305" spans="2:19" x14ac:dyDescent="0.15">
      <c r="B2305" s="23"/>
      <c r="C2305" s="23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</row>
    <row r="2306" spans="2:19" x14ac:dyDescent="0.15">
      <c r="B2306" s="23"/>
      <c r="C2306" s="23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</row>
    <row r="2307" spans="2:19" x14ac:dyDescent="0.15">
      <c r="B2307" s="23"/>
      <c r="C2307" s="23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</row>
    <row r="2308" spans="2:19" x14ac:dyDescent="0.15">
      <c r="B2308" s="23"/>
      <c r="C2308" s="23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</row>
    <row r="2309" spans="2:19" x14ac:dyDescent="0.15">
      <c r="B2309" s="23"/>
      <c r="C2309" s="23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</row>
    <row r="2310" spans="2:19" x14ac:dyDescent="0.15">
      <c r="B2310" s="23"/>
      <c r="C2310" s="23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</row>
    <row r="2311" spans="2:19" x14ac:dyDescent="0.15">
      <c r="B2311" s="23"/>
      <c r="C2311" s="23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</row>
    <row r="2312" spans="2:19" x14ac:dyDescent="0.15">
      <c r="B2312" s="23"/>
      <c r="C2312" s="23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</row>
    <row r="2313" spans="2:19" x14ac:dyDescent="0.15">
      <c r="B2313" s="23"/>
      <c r="C2313" s="23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</row>
    <row r="2314" spans="2:19" x14ac:dyDescent="0.15">
      <c r="B2314" s="23"/>
      <c r="C2314" s="23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</row>
    <row r="2315" spans="2:19" x14ac:dyDescent="0.15">
      <c r="B2315" s="23"/>
      <c r="C2315" s="23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</row>
    <row r="2316" spans="2:19" x14ac:dyDescent="0.15">
      <c r="B2316" s="23"/>
      <c r="C2316" s="23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</row>
    <row r="2317" spans="2:19" x14ac:dyDescent="0.15">
      <c r="B2317" s="23"/>
      <c r="C2317" s="23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</row>
    <row r="2318" spans="2:19" x14ac:dyDescent="0.15">
      <c r="B2318" s="23"/>
      <c r="C2318" s="23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</row>
    <row r="2319" spans="2:19" x14ac:dyDescent="0.15">
      <c r="B2319" s="23"/>
      <c r="C2319" s="23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</row>
    <row r="2320" spans="2:19" x14ac:dyDescent="0.15">
      <c r="B2320" s="23"/>
      <c r="C2320" s="23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</row>
    <row r="2321" spans="2:19" x14ac:dyDescent="0.15">
      <c r="B2321" s="23"/>
      <c r="C2321" s="23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</row>
    <row r="2322" spans="2:19" x14ac:dyDescent="0.15">
      <c r="B2322" s="23"/>
      <c r="C2322" s="23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</row>
    <row r="2323" spans="2:19" x14ac:dyDescent="0.15">
      <c r="B2323" s="23"/>
      <c r="C2323" s="23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</row>
    <row r="2324" spans="2:19" x14ac:dyDescent="0.15">
      <c r="B2324" s="23"/>
      <c r="C2324" s="23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</row>
    <row r="2325" spans="2:19" x14ac:dyDescent="0.15">
      <c r="B2325" s="23"/>
      <c r="C2325" s="23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</row>
    <row r="2326" spans="2:19" x14ac:dyDescent="0.15">
      <c r="B2326" s="23"/>
      <c r="C2326" s="23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</row>
    <row r="2327" spans="2:19" x14ac:dyDescent="0.15">
      <c r="B2327" s="23"/>
      <c r="C2327" s="23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</row>
    <row r="2328" spans="2:19" x14ac:dyDescent="0.15">
      <c r="B2328" s="23"/>
      <c r="C2328" s="23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</row>
    <row r="2329" spans="2:19" x14ac:dyDescent="0.15">
      <c r="B2329" s="23"/>
      <c r="C2329" s="23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</row>
    <row r="2330" spans="2:19" x14ac:dyDescent="0.15">
      <c r="B2330" s="23"/>
      <c r="C2330" s="23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</row>
    <row r="2331" spans="2:19" x14ac:dyDescent="0.15">
      <c r="B2331" s="23"/>
      <c r="C2331" s="23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</row>
    <row r="2332" spans="2:19" x14ac:dyDescent="0.15">
      <c r="B2332" s="23"/>
      <c r="C2332" s="23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</row>
    <row r="2333" spans="2:19" x14ac:dyDescent="0.15">
      <c r="B2333" s="23"/>
      <c r="C2333" s="23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</row>
    <row r="2334" spans="2:19" x14ac:dyDescent="0.15">
      <c r="B2334" s="23"/>
      <c r="C2334" s="23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</row>
    <row r="2335" spans="2:19" x14ac:dyDescent="0.15">
      <c r="B2335" s="23"/>
      <c r="C2335" s="23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</row>
    <row r="2336" spans="2:19" x14ac:dyDescent="0.15">
      <c r="B2336" s="23"/>
      <c r="C2336" s="23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</row>
    <row r="2337" spans="2:19" x14ac:dyDescent="0.15">
      <c r="B2337" s="23"/>
      <c r="C2337" s="23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</row>
    <row r="2338" spans="2:19" x14ac:dyDescent="0.15">
      <c r="B2338" s="23"/>
      <c r="C2338" s="23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</row>
    <row r="2339" spans="2:19" x14ac:dyDescent="0.15">
      <c r="B2339" s="23"/>
      <c r="C2339" s="23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</row>
    <row r="2340" spans="2:19" x14ac:dyDescent="0.15">
      <c r="B2340" s="23"/>
      <c r="C2340" s="23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</row>
    <row r="2341" spans="2:19" x14ac:dyDescent="0.15">
      <c r="B2341" s="23"/>
      <c r="C2341" s="23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</row>
    <row r="2342" spans="2:19" x14ac:dyDescent="0.15">
      <c r="B2342" s="23"/>
      <c r="C2342" s="23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</row>
    <row r="2343" spans="2:19" x14ac:dyDescent="0.15">
      <c r="B2343" s="23"/>
      <c r="C2343" s="23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</row>
    <row r="2344" spans="2:19" x14ac:dyDescent="0.15">
      <c r="B2344" s="23"/>
      <c r="C2344" s="23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</row>
    <row r="2345" spans="2:19" x14ac:dyDescent="0.15">
      <c r="B2345" s="23"/>
      <c r="C2345" s="23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</row>
    <row r="2346" spans="2:19" x14ac:dyDescent="0.15">
      <c r="B2346" s="23"/>
      <c r="C2346" s="23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</row>
    <row r="2347" spans="2:19" x14ac:dyDescent="0.15">
      <c r="B2347" s="23"/>
      <c r="C2347" s="23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</row>
    <row r="2348" spans="2:19" x14ac:dyDescent="0.15">
      <c r="B2348" s="23"/>
      <c r="C2348" s="23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</row>
    <row r="2349" spans="2:19" x14ac:dyDescent="0.15">
      <c r="B2349" s="23"/>
      <c r="C2349" s="23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</row>
    <row r="2350" spans="2:19" x14ac:dyDescent="0.15">
      <c r="B2350" s="23"/>
      <c r="C2350" s="23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</row>
    <row r="2351" spans="2:19" x14ac:dyDescent="0.15">
      <c r="B2351" s="23"/>
      <c r="C2351" s="23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</row>
    <row r="2352" spans="2:19" x14ac:dyDescent="0.15">
      <c r="B2352" s="23"/>
      <c r="C2352" s="23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</row>
    <row r="2353" spans="2:19" x14ac:dyDescent="0.15">
      <c r="B2353" s="23"/>
      <c r="C2353" s="23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</row>
    <row r="2354" spans="2:19" x14ac:dyDescent="0.15">
      <c r="B2354" s="23"/>
      <c r="C2354" s="23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</row>
    <row r="2355" spans="2:19" x14ac:dyDescent="0.15">
      <c r="B2355" s="23"/>
      <c r="C2355" s="23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</row>
    <row r="2356" spans="2:19" x14ac:dyDescent="0.15">
      <c r="B2356" s="23"/>
      <c r="C2356" s="23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</row>
    <row r="2357" spans="2:19" x14ac:dyDescent="0.15">
      <c r="B2357" s="23"/>
      <c r="C2357" s="23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</row>
    <row r="2358" spans="2:19" x14ac:dyDescent="0.15">
      <c r="B2358" s="23"/>
      <c r="C2358" s="23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</row>
    <row r="2359" spans="2:19" x14ac:dyDescent="0.15">
      <c r="B2359" s="23"/>
      <c r="C2359" s="23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</row>
    <row r="2360" spans="2:19" x14ac:dyDescent="0.15">
      <c r="B2360" s="23"/>
      <c r="C2360" s="23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</row>
    <row r="2361" spans="2:19" x14ac:dyDescent="0.15">
      <c r="B2361" s="23"/>
      <c r="C2361" s="23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</row>
    <row r="2362" spans="2:19" x14ac:dyDescent="0.15">
      <c r="B2362" s="23"/>
      <c r="C2362" s="23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</row>
    <row r="2363" spans="2:19" x14ac:dyDescent="0.15">
      <c r="B2363" s="23"/>
      <c r="C2363" s="23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</row>
    <row r="2364" spans="2:19" x14ac:dyDescent="0.15">
      <c r="B2364" s="23"/>
      <c r="C2364" s="23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</row>
    <row r="2365" spans="2:19" x14ac:dyDescent="0.15">
      <c r="B2365" s="23"/>
      <c r="C2365" s="23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</row>
    <row r="2366" spans="2:19" x14ac:dyDescent="0.15">
      <c r="B2366" s="23"/>
      <c r="C2366" s="23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</row>
    <row r="2367" spans="2:19" x14ac:dyDescent="0.15">
      <c r="B2367" s="23"/>
      <c r="C2367" s="23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</row>
    <row r="2368" spans="2:19" x14ac:dyDescent="0.15">
      <c r="B2368" s="23"/>
      <c r="C2368" s="23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</row>
    <row r="2369" spans="2:19" x14ac:dyDescent="0.15">
      <c r="B2369" s="23"/>
      <c r="C2369" s="23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</row>
    <row r="2370" spans="2:19" x14ac:dyDescent="0.15">
      <c r="B2370" s="23"/>
      <c r="C2370" s="23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</row>
    <row r="2371" spans="2:19" x14ac:dyDescent="0.15">
      <c r="B2371" s="23"/>
      <c r="C2371" s="23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</row>
    <row r="2372" spans="2:19" x14ac:dyDescent="0.15">
      <c r="B2372" s="23"/>
      <c r="C2372" s="23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</row>
    <row r="2373" spans="2:19" x14ac:dyDescent="0.15">
      <c r="B2373" s="23"/>
      <c r="C2373" s="23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</row>
    <row r="2374" spans="2:19" x14ac:dyDescent="0.15">
      <c r="B2374" s="23"/>
      <c r="C2374" s="23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</row>
    <row r="2375" spans="2:19" x14ac:dyDescent="0.15">
      <c r="B2375" s="23"/>
      <c r="C2375" s="23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</row>
    <row r="2376" spans="2:19" x14ac:dyDescent="0.15">
      <c r="B2376" s="23"/>
      <c r="C2376" s="23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</row>
    <row r="2377" spans="2:19" x14ac:dyDescent="0.15">
      <c r="B2377" s="23"/>
      <c r="C2377" s="23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</row>
    <row r="2378" spans="2:19" x14ac:dyDescent="0.15">
      <c r="B2378" s="23"/>
      <c r="C2378" s="23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</row>
    <row r="2379" spans="2:19" x14ac:dyDescent="0.15">
      <c r="B2379" s="23"/>
      <c r="C2379" s="23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</row>
    <row r="2380" spans="2:19" x14ac:dyDescent="0.15">
      <c r="B2380" s="23"/>
      <c r="C2380" s="23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</row>
    <row r="2381" spans="2:19" x14ac:dyDescent="0.15">
      <c r="B2381" s="23"/>
      <c r="C2381" s="23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</row>
    <row r="2382" spans="2:19" x14ac:dyDescent="0.15">
      <c r="B2382" s="23"/>
      <c r="C2382" s="23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</row>
    <row r="2383" spans="2:19" x14ac:dyDescent="0.15">
      <c r="B2383" s="23"/>
      <c r="C2383" s="23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</row>
    <row r="2384" spans="2:19" x14ac:dyDescent="0.15">
      <c r="B2384" s="23"/>
      <c r="C2384" s="23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</row>
    <row r="2385" spans="2:19" x14ac:dyDescent="0.15">
      <c r="B2385" s="23"/>
      <c r="C2385" s="23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</row>
    <row r="2386" spans="2:19" x14ac:dyDescent="0.15">
      <c r="B2386" s="23"/>
      <c r="C2386" s="23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</row>
    <row r="2387" spans="2:19" x14ac:dyDescent="0.15">
      <c r="B2387" s="23"/>
      <c r="C2387" s="23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</row>
    <row r="2388" spans="2:19" x14ac:dyDescent="0.15">
      <c r="B2388" s="23"/>
      <c r="C2388" s="23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</row>
    <row r="2389" spans="2:19" x14ac:dyDescent="0.15">
      <c r="B2389" s="23"/>
      <c r="C2389" s="23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</row>
    <row r="2390" spans="2:19" x14ac:dyDescent="0.15">
      <c r="B2390" s="23"/>
      <c r="C2390" s="23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</row>
    <row r="2391" spans="2:19" x14ac:dyDescent="0.15">
      <c r="B2391" s="23"/>
      <c r="C2391" s="23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</row>
    <row r="2392" spans="2:19" x14ac:dyDescent="0.15">
      <c r="B2392" s="23"/>
      <c r="C2392" s="23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</row>
    <row r="2393" spans="2:19" x14ac:dyDescent="0.15">
      <c r="B2393" s="23"/>
      <c r="C2393" s="23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</row>
    <row r="2394" spans="2:19" x14ac:dyDescent="0.15">
      <c r="B2394" s="23"/>
      <c r="C2394" s="23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</row>
    <row r="2395" spans="2:19" x14ac:dyDescent="0.15">
      <c r="B2395" s="23"/>
      <c r="C2395" s="23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</row>
    <row r="2396" spans="2:19" x14ac:dyDescent="0.15">
      <c r="B2396" s="23"/>
      <c r="C2396" s="23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</row>
    <row r="2397" spans="2:19" x14ac:dyDescent="0.15">
      <c r="B2397" s="23"/>
      <c r="C2397" s="23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</row>
    <row r="2398" spans="2:19" x14ac:dyDescent="0.15">
      <c r="B2398" s="23"/>
      <c r="C2398" s="23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</row>
    <row r="2399" spans="2:19" x14ac:dyDescent="0.15">
      <c r="B2399" s="23"/>
      <c r="C2399" s="23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</row>
    <row r="2400" spans="2:19" x14ac:dyDescent="0.15">
      <c r="B2400" s="23"/>
      <c r="C2400" s="23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</row>
    <row r="2401" spans="2:19" x14ac:dyDescent="0.15">
      <c r="B2401" s="23"/>
      <c r="C2401" s="23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</row>
    <row r="2402" spans="2:19" x14ac:dyDescent="0.15">
      <c r="B2402" s="23"/>
      <c r="C2402" s="23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</row>
    <row r="2403" spans="2:19" x14ac:dyDescent="0.15">
      <c r="B2403" s="23"/>
      <c r="C2403" s="23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</row>
    <row r="2404" spans="2:19" x14ac:dyDescent="0.15">
      <c r="B2404" s="23"/>
      <c r="C2404" s="23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</row>
    <row r="2405" spans="2:19" x14ac:dyDescent="0.15">
      <c r="B2405" s="23"/>
      <c r="C2405" s="23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</row>
    <row r="2406" spans="2:19" x14ac:dyDescent="0.15">
      <c r="B2406" s="23"/>
      <c r="C2406" s="23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</row>
    <row r="2407" spans="2:19" x14ac:dyDescent="0.15">
      <c r="B2407" s="23"/>
      <c r="C2407" s="23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</row>
    <row r="2408" spans="2:19" x14ac:dyDescent="0.15">
      <c r="B2408" s="23"/>
      <c r="C2408" s="23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</row>
    <row r="2409" spans="2:19" x14ac:dyDescent="0.15">
      <c r="B2409" s="23"/>
      <c r="C2409" s="23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</row>
    <row r="2410" spans="2:19" x14ac:dyDescent="0.15">
      <c r="B2410" s="23"/>
      <c r="C2410" s="23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</row>
    <row r="2411" spans="2:19" x14ac:dyDescent="0.15">
      <c r="B2411" s="23"/>
      <c r="C2411" s="23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</row>
    <row r="2412" spans="2:19" x14ac:dyDescent="0.15">
      <c r="B2412" s="23"/>
      <c r="C2412" s="23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</row>
    <row r="2413" spans="2:19" x14ac:dyDescent="0.15">
      <c r="B2413" s="23"/>
      <c r="C2413" s="23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</row>
    <row r="2414" spans="2:19" x14ac:dyDescent="0.15">
      <c r="B2414" s="23"/>
      <c r="C2414" s="23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</row>
    <row r="2415" spans="2:19" x14ac:dyDescent="0.15">
      <c r="B2415" s="23"/>
      <c r="C2415" s="23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</row>
    <row r="2416" spans="2:19" x14ac:dyDescent="0.15">
      <c r="B2416" s="23"/>
      <c r="C2416" s="23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</row>
    <row r="2417" spans="2:19" x14ac:dyDescent="0.15">
      <c r="B2417" s="23"/>
      <c r="C2417" s="23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</row>
    <row r="2418" spans="2:19" x14ac:dyDescent="0.15">
      <c r="B2418" s="23"/>
      <c r="C2418" s="23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</row>
    <row r="2419" spans="2:19" x14ac:dyDescent="0.15">
      <c r="B2419" s="23"/>
      <c r="C2419" s="23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</row>
    <row r="2420" spans="2:19" x14ac:dyDescent="0.15">
      <c r="B2420" s="23"/>
      <c r="C2420" s="23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</row>
    <row r="2421" spans="2:19" x14ac:dyDescent="0.15">
      <c r="B2421" s="23"/>
      <c r="C2421" s="23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</row>
    <row r="2422" spans="2:19" x14ac:dyDescent="0.15">
      <c r="B2422" s="23"/>
      <c r="C2422" s="23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</row>
    <row r="2423" spans="2:19" x14ac:dyDescent="0.15">
      <c r="B2423" s="23"/>
      <c r="C2423" s="23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</row>
    <row r="2424" spans="2:19" x14ac:dyDescent="0.15">
      <c r="B2424" s="23"/>
      <c r="C2424" s="23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</row>
    <row r="2425" spans="2:19" x14ac:dyDescent="0.15">
      <c r="B2425" s="23"/>
      <c r="C2425" s="23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</row>
    <row r="2426" spans="2:19" x14ac:dyDescent="0.15">
      <c r="B2426" s="23"/>
      <c r="C2426" s="23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</row>
    <row r="2427" spans="2:19" x14ac:dyDescent="0.15">
      <c r="B2427" s="23"/>
      <c r="C2427" s="23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</row>
    <row r="2428" spans="2:19" x14ac:dyDescent="0.15">
      <c r="B2428" s="23"/>
      <c r="C2428" s="23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</row>
    <row r="2429" spans="2:19" x14ac:dyDescent="0.15">
      <c r="B2429" s="23"/>
      <c r="C2429" s="23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</row>
    <row r="2430" spans="2:19" x14ac:dyDescent="0.15">
      <c r="B2430" s="23"/>
      <c r="C2430" s="23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</row>
    <row r="2431" spans="2:19" x14ac:dyDescent="0.15">
      <c r="B2431" s="23"/>
      <c r="C2431" s="23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</row>
    <row r="2432" spans="2:19" x14ac:dyDescent="0.15">
      <c r="B2432" s="23"/>
      <c r="C2432" s="23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</row>
    <row r="2433" spans="2:19" x14ac:dyDescent="0.15">
      <c r="B2433" s="23"/>
      <c r="C2433" s="23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</row>
    <row r="2434" spans="2:19" x14ac:dyDescent="0.15">
      <c r="B2434" s="23"/>
      <c r="C2434" s="23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</row>
    <row r="2435" spans="2:19" x14ac:dyDescent="0.15">
      <c r="B2435" s="23"/>
      <c r="C2435" s="23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</row>
    <row r="2436" spans="2:19" x14ac:dyDescent="0.15">
      <c r="B2436" s="23"/>
      <c r="C2436" s="23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</row>
    <row r="2437" spans="2:19" x14ac:dyDescent="0.15">
      <c r="B2437" s="23"/>
      <c r="C2437" s="23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</row>
    <row r="2438" spans="2:19" x14ac:dyDescent="0.15">
      <c r="B2438" s="23"/>
      <c r="C2438" s="23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</row>
    <row r="2439" spans="2:19" x14ac:dyDescent="0.15">
      <c r="B2439" s="23"/>
      <c r="C2439" s="23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</row>
    <row r="2440" spans="2:19" x14ac:dyDescent="0.15">
      <c r="B2440" s="23"/>
      <c r="C2440" s="23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</row>
    <row r="2441" spans="2:19" x14ac:dyDescent="0.15">
      <c r="B2441" s="23"/>
      <c r="C2441" s="23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</row>
    <row r="2442" spans="2:19" x14ac:dyDescent="0.15">
      <c r="B2442" s="23"/>
      <c r="C2442" s="23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</row>
    <row r="2443" spans="2:19" x14ac:dyDescent="0.15">
      <c r="B2443" s="23"/>
      <c r="C2443" s="23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</row>
    <row r="2444" spans="2:19" x14ac:dyDescent="0.15">
      <c r="B2444" s="23"/>
      <c r="C2444" s="23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</row>
    <row r="2445" spans="2:19" x14ac:dyDescent="0.15">
      <c r="B2445" s="23"/>
      <c r="C2445" s="23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</row>
    <row r="2446" spans="2:19" x14ac:dyDescent="0.15">
      <c r="B2446" s="23"/>
      <c r="C2446" s="23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</row>
    <row r="2447" spans="2:19" x14ac:dyDescent="0.15">
      <c r="B2447" s="23"/>
      <c r="C2447" s="23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</row>
    <row r="2448" spans="2:19" x14ac:dyDescent="0.15">
      <c r="B2448" s="23"/>
      <c r="C2448" s="23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</row>
    <row r="2449" spans="2:19" x14ac:dyDescent="0.15">
      <c r="B2449" s="23"/>
      <c r="C2449" s="23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</row>
    <row r="2450" spans="2:19" x14ac:dyDescent="0.15">
      <c r="B2450" s="23"/>
      <c r="C2450" s="23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</row>
    <row r="2451" spans="2:19" x14ac:dyDescent="0.15">
      <c r="B2451" s="23"/>
      <c r="C2451" s="23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</row>
    <row r="2452" spans="2:19" x14ac:dyDescent="0.15">
      <c r="B2452" s="23"/>
      <c r="C2452" s="23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</row>
    <row r="2453" spans="2:19" x14ac:dyDescent="0.15">
      <c r="B2453" s="23"/>
      <c r="C2453" s="23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</row>
    <row r="2454" spans="2:19" x14ac:dyDescent="0.15">
      <c r="B2454" s="23"/>
      <c r="C2454" s="23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</row>
    <row r="2455" spans="2:19" x14ac:dyDescent="0.15">
      <c r="B2455" s="23"/>
      <c r="C2455" s="23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</row>
    <row r="2456" spans="2:19" x14ac:dyDescent="0.15">
      <c r="B2456" s="23"/>
      <c r="C2456" s="23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</row>
    <row r="2457" spans="2:19" x14ac:dyDescent="0.15">
      <c r="B2457" s="23"/>
      <c r="C2457" s="23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</row>
    <row r="2458" spans="2:19" x14ac:dyDescent="0.15">
      <c r="B2458" s="23"/>
      <c r="C2458" s="23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</row>
    <row r="2459" spans="2:19" x14ac:dyDescent="0.15">
      <c r="B2459" s="23"/>
      <c r="C2459" s="23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</row>
    <row r="2460" spans="2:19" x14ac:dyDescent="0.15">
      <c r="B2460" s="23"/>
      <c r="C2460" s="23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</row>
    <row r="2461" spans="2:19" x14ac:dyDescent="0.15">
      <c r="B2461" s="23"/>
      <c r="C2461" s="23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</row>
    <row r="2462" spans="2:19" x14ac:dyDescent="0.15">
      <c r="B2462" s="23"/>
      <c r="C2462" s="23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</row>
    <row r="2463" spans="2:19" x14ac:dyDescent="0.15">
      <c r="B2463" s="23"/>
      <c r="C2463" s="23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</row>
    <row r="2464" spans="2:19" x14ac:dyDescent="0.15">
      <c r="B2464" s="23"/>
      <c r="C2464" s="23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</row>
    <row r="2465" spans="2:19" x14ac:dyDescent="0.15">
      <c r="B2465" s="23"/>
      <c r="C2465" s="23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</row>
    <row r="2466" spans="2:19" x14ac:dyDescent="0.15">
      <c r="B2466" s="23"/>
      <c r="C2466" s="23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</row>
    <row r="2467" spans="2:19" x14ac:dyDescent="0.15">
      <c r="B2467" s="23"/>
      <c r="C2467" s="23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</row>
    <row r="2468" spans="2:19" x14ac:dyDescent="0.15">
      <c r="B2468" s="23"/>
      <c r="C2468" s="23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</row>
    <row r="2469" spans="2:19" x14ac:dyDescent="0.15">
      <c r="B2469" s="23"/>
      <c r="C2469" s="23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</row>
    <row r="2470" spans="2:19" x14ac:dyDescent="0.15">
      <c r="B2470" s="23"/>
      <c r="C2470" s="23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</row>
    <row r="2471" spans="2:19" x14ac:dyDescent="0.15">
      <c r="B2471" s="23"/>
      <c r="C2471" s="23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</row>
    <row r="2472" spans="2:19" x14ac:dyDescent="0.15">
      <c r="B2472" s="23"/>
      <c r="C2472" s="23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</row>
    <row r="2473" spans="2:19" x14ac:dyDescent="0.15">
      <c r="B2473" s="23"/>
      <c r="C2473" s="23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</row>
    <row r="2474" spans="2:19" x14ac:dyDescent="0.15">
      <c r="B2474" s="23"/>
      <c r="C2474" s="23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</row>
    <row r="2475" spans="2:19" x14ac:dyDescent="0.15">
      <c r="B2475" s="23"/>
      <c r="C2475" s="23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</row>
    <row r="2476" spans="2:19" x14ac:dyDescent="0.15">
      <c r="B2476" s="23"/>
      <c r="C2476" s="23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</row>
    <row r="2477" spans="2:19" x14ac:dyDescent="0.15">
      <c r="B2477" s="23"/>
      <c r="C2477" s="23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</row>
    <row r="2478" spans="2:19" x14ac:dyDescent="0.15">
      <c r="B2478" s="23"/>
      <c r="C2478" s="23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</row>
    <row r="2479" spans="2:19" x14ac:dyDescent="0.15">
      <c r="B2479" s="23"/>
      <c r="C2479" s="23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</row>
    <row r="2480" spans="2:19" x14ac:dyDescent="0.15">
      <c r="B2480" s="23"/>
      <c r="C2480" s="23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</row>
    <row r="2481" spans="2:19" x14ac:dyDescent="0.15">
      <c r="B2481" s="23"/>
      <c r="C2481" s="23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</row>
    <row r="2482" spans="2:19" x14ac:dyDescent="0.15">
      <c r="B2482" s="23"/>
      <c r="C2482" s="23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</row>
    <row r="2483" spans="2:19" x14ac:dyDescent="0.15">
      <c r="B2483" s="23"/>
      <c r="C2483" s="23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</row>
    <row r="2484" spans="2:19" x14ac:dyDescent="0.15">
      <c r="B2484" s="23"/>
      <c r="C2484" s="23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</row>
    <row r="2485" spans="2:19" x14ac:dyDescent="0.15">
      <c r="B2485" s="23"/>
      <c r="C2485" s="23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</row>
    <row r="2486" spans="2:19" x14ac:dyDescent="0.15">
      <c r="B2486" s="23"/>
      <c r="C2486" s="23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</row>
    <row r="2487" spans="2:19" x14ac:dyDescent="0.15">
      <c r="B2487" s="23"/>
      <c r="C2487" s="23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</row>
    <row r="2488" spans="2:19" x14ac:dyDescent="0.15">
      <c r="B2488" s="23"/>
      <c r="C2488" s="23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</row>
    <row r="2489" spans="2:19" x14ac:dyDescent="0.15">
      <c r="B2489" s="23"/>
      <c r="C2489" s="23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</row>
    <row r="2490" spans="2:19" x14ac:dyDescent="0.15">
      <c r="B2490" s="23"/>
      <c r="C2490" s="23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</row>
    <row r="2491" spans="2:19" x14ac:dyDescent="0.15">
      <c r="B2491" s="23"/>
      <c r="C2491" s="23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</row>
    <row r="2492" spans="2:19" x14ac:dyDescent="0.15">
      <c r="B2492" s="23"/>
      <c r="C2492" s="23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</row>
    <row r="2493" spans="2:19" x14ac:dyDescent="0.15">
      <c r="B2493" s="23"/>
      <c r="C2493" s="23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</row>
    <row r="2494" spans="2:19" x14ac:dyDescent="0.15">
      <c r="B2494" s="23"/>
      <c r="C2494" s="23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</row>
    <row r="2495" spans="2:19" x14ac:dyDescent="0.15">
      <c r="B2495" s="23"/>
      <c r="C2495" s="23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</row>
    <row r="2496" spans="2:19" x14ac:dyDescent="0.15">
      <c r="B2496" s="23"/>
      <c r="C2496" s="23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</row>
    <row r="2497" spans="2:19" x14ac:dyDescent="0.15">
      <c r="B2497" s="23"/>
      <c r="C2497" s="23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</row>
    <row r="2498" spans="2:19" x14ac:dyDescent="0.15">
      <c r="B2498" s="23"/>
      <c r="C2498" s="23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</row>
    <row r="2499" spans="2:19" x14ac:dyDescent="0.15">
      <c r="B2499" s="23"/>
      <c r="C2499" s="23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</row>
    <row r="2500" spans="2:19" x14ac:dyDescent="0.15">
      <c r="B2500" s="23"/>
      <c r="C2500" s="23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</row>
    <row r="2501" spans="2:19" x14ac:dyDescent="0.15">
      <c r="B2501" s="23"/>
      <c r="C2501" s="23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</row>
    <row r="2502" spans="2:19" x14ac:dyDescent="0.15">
      <c r="B2502" s="23"/>
      <c r="C2502" s="23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</row>
    <row r="2503" spans="2:19" x14ac:dyDescent="0.15">
      <c r="B2503" s="23"/>
      <c r="C2503" s="23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</row>
    <row r="2504" spans="2:19" x14ac:dyDescent="0.15">
      <c r="B2504" s="23"/>
      <c r="C2504" s="23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</row>
    <row r="2505" spans="2:19" x14ac:dyDescent="0.15">
      <c r="B2505" s="23"/>
      <c r="C2505" s="23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</row>
    <row r="2506" spans="2:19" x14ac:dyDescent="0.15">
      <c r="B2506" s="23"/>
      <c r="C2506" s="23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</row>
    <row r="2507" spans="2:19" x14ac:dyDescent="0.15">
      <c r="B2507" s="23"/>
      <c r="C2507" s="23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</row>
    <row r="2508" spans="2:19" x14ac:dyDescent="0.15">
      <c r="B2508" s="23"/>
      <c r="C2508" s="23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</row>
    <row r="2509" spans="2:19" x14ac:dyDescent="0.15">
      <c r="B2509" s="23"/>
      <c r="C2509" s="23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</row>
    <row r="2510" spans="2:19" x14ac:dyDescent="0.15">
      <c r="B2510" s="23"/>
      <c r="C2510" s="23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</row>
    <row r="2511" spans="2:19" x14ac:dyDescent="0.15">
      <c r="B2511" s="23"/>
      <c r="C2511" s="23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</row>
    <row r="2512" spans="2:19" x14ac:dyDescent="0.15">
      <c r="B2512" s="23"/>
      <c r="C2512" s="23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</row>
    <row r="2513" spans="2:19" x14ac:dyDescent="0.15">
      <c r="B2513" s="23"/>
      <c r="C2513" s="23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</row>
    <row r="2514" spans="2:19" x14ac:dyDescent="0.15">
      <c r="B2514" s="23"/>
      <c r="C2514" s="23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</row>
    <row r="2515" spans="2:19" x14ac:dyDescent="0.15">
      <c r="B2515" s="23"/>
      <c r="C2515" s="23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</row>
    <row r="2516" spans="2:19" x14ac:dyDescent="0.15">
      <c r="B2516" s="23"/>
      <c r="C2516" s="23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</row>
    <row r="2517" spans="2:19" x14ac:dyDescent="0.15">
      <c r="B2517" s="23"/>
      <c r="C2517" s="23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</row>
    <row r="2518" spans="2:19" x14ac:dyDescent="0.15">
      <c r="B2518" s="23"/>
      <c r="C2518" s="23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</row>
    <row r="2519" spans="2:19" x14ac:dyDescent="0.15">
      <c r="B2519" s="23"/>
      <c r="C2519" s="23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</row>
    <row r="2520" spans="2:19" x14ac:dyDescent="0.15">
      <c r="B2520" s="23"/>
      <c r="C2520" s="23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</row>
    <row r="2521" spans="2:19" x14ac:dyDescent="0.15">
      <c r="B2521" s="23"/>
      <c r="C2521" s="23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</row>
    <row r="2522" spans="2:19" x14ac:dyDescent="0.15">
      <c r="B2522" s="23"/>
      <c r="C2522" s="23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</row>
    <row r="2523" spans="2:19" x14ac:dyDescent="0.15">
      <c r="B2523" s="23"/>
      <c r="C2523" s="23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</row>
    <row r="2524" spans="2:19" x14ac:dyDescent="0.15">
      <c r="B2524" s="23"/>
      <c r="C2524" s="23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</row>
    <row r="2525" spans="2:19" x14ac:dyDescent="0.15">
      <c r="B2525" s="23"/>
      <c r="C2525" s="23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</row>
    <row r="2526" spans="2:19" x14ac:dyDescent="0.15">
      <c r="B2526" s="23"/>
      <c r="C2526" s="23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</row>
    <row r="2527" spans="2:19" x14ac:dyDescent="0.15">
      <c r="B2527" s="23"/>
      <c r="C2527" s="23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</row>
    <row r="2528" spans="2:19" x14ac:dyDescent="0.15">
      <c r="B2528" s="23"/>
      <c r="C2528" s="23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</row>
    <row r="2529" spans="2:19" x14ac:dyDescent="0.15">
      <c r="B2529" s="23"/>
      <c r="C2529" s="23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</row>
    <row r="2530" spans="2:19" x14ac:dyDescent="0.15">
      <c r="B2530" s="23"/>
      <c r="C2530" s="23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</row>
    <row r="2531" spans="2:19" x14ac:dyDescent="0.15">
      <c r="B2531" s="23"/>
      <c r="C2531" s="23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</row>
    <row r="2532" spans="2:19" x14ac:dyDescent="0.15">
      <c r="B2532" s="23"/>
      <c r="C2532" s="23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</row>
    <row r="2533" spans="2:19" x14ac:dyDescent="0.15">
      <c r="B2533" s="23"/>
      <c r="C2533" s="23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</row>
    <row r="2534" spans="2:19" x14ac:dyDescent="0.15">
      <c r="B2534" s="23"/>
      <c r="C2534" s="23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</row>
    <row r="2535" spans="2:19" x14ac:dyDescent="0.15">
      <c r="B2535" s="23"/>
      <c r="C2535" s="23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</row>
    <row r="2536" spans="2:19" x14ac:dyDescent="0.15">
      <c r="B2536" s="23"/>
      <c r="C2536" s="23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</row>
    <row r="2537" spans="2:19" x14ac:dyDescent="0.15">
      <c r="B2537" s="23"/>
      <c r="C2537" s="23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</row>
    <row r="2538" spans="2:19" x14ac:dyDescent="0.15">
      <c r="B2538" s="23"/>
      <c r="C2538" s="23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</row>
    <row r="2539" spans="2:19" x14ac:dyDescent="0.15">
      <c r="B2539" s="23"/>
      <c r="C2539" s="23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</row>
    <row r="2540" spans="2:19" x14ac:dyDescent="0.15">
      <c r="B2540" s="23"/>
      <c r="C2540" s="23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</row>
    <row r="2541" spans="2:19" x14ac:dyDescent="0.15">
      <c r="B2541" s="23"/>
      <c r="C2541" s="23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</row>
    <row r="2542" spans="2:19" x14ac:dyDescent="0.15">
      <c r="B2542" s="23"/>
      <c r="C2542" s="23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</row>
    <row r="2543" spans="2:19" x14ac:dyDescent="0.15">
      <c r="B2543" s="23"/>
      <c r="C2543" s="23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</row>
    <row r="2544" spans="2:19" x14ac:dyDescent="0.15">
      <c r="B2544" s="23"/>
      <c r="C2544" s="23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</row>
    <row r="2545" spans="2:19" x14ac:dyDescent="0.15">
      <c r="B2545" s="23"/>
      <c r="C2545" s="23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</row>
    <row r="2546" spans="2:19" x14ac:dyDescent="0.15">
      <c r="B2546" s="23"/>
      <c r="C2546" s="23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</row>
    <row r="2547" spans="2:19" x14ac:dyDescent="0.15">
      <c r="B2547" s="23"/>
      <c r="C2547" s="23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</row>
    <row r="2548" spans="2:19" x14ac:dyDescent="0.15">
      <c r="B2548" s="23"/>
      <c r="C2548" s="23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</row>
    <row r="2549" spans="2:19" x14ac:dyDescent="0.15">
      <c r="B2549" s="23"/>
      <c r="C2549" s="23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</row>
    <row r="2550" spans="2:19" x14ac:dyDescent="0.15">
      <c r="B2550" s="23"/>
      <c r="C2550" s="23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</row>
    <row r="2551" spans="2:19" x14ac:dyDescent="0.15">
      <c r="B2551" s="23"/>
      <c r="C2551" s="23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</row>
    <row r="2552" spans="2:19" x14ac:dyDescent="0.15">
      <c r="B2552" s="23"/>
      <c r="C2552" s="23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</row>
    <row r="2553" spans="2:19" x14ac:dyDescent="0.15">
      <c r="B2553" s="23"/>
      <c r="C2553" s="23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</row>
    <row r="2554" spans="2:19" x14ac:dyDescent="0.15">
      <c r="B2554" s="23"/>
      <c r="C2554" s="23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</row>
    <row r="2555" spans="2:19" x14ac:dyDescent="0.15">
      <c r="B2555" s="23"/>
      <c r="C2555" s="23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</row>
    <row r="2556" spans="2:19" x14ac:dyDescent="0.15">
      <c r="B2556" s="23"/>
      <c r="C2556" s="23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</row>
    <row r="2557" spans="2:19" x14ac:dyDescent="0.15">
      <c r="B2557" s="23"/>
      <c r="C2557" s="23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</row>
    <row r="2558" spans="2:19" x14ac:dyDescent="0.15">
      <c r="B2558" s="23"/>
      <c r="C2558" s="23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</row>
    <row r="2559" spans="2:19" x14ac:dyDescent="0.15">
      <c r="B2559" s="23"/>
      <c r="C2559" s="23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</row>
    <row r="2560" spans="2:19" x14ac:dyDescent="0.15">
      <c r="B2560" s="23"/>
      <c r="C2560" s="23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</row>
    <row r="2561" spans="2:19" x14ac:dyDescent="0.15">
      <c r="B2561" s="23"/>
      <c r="C2561" s="23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</row>
    <row r="2562" spans="2:19" x14ac:dyDescent="0.15">
      <c r="B2562" s="23"/>
      <c r="C2562" s="23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</row>
    <row r="2563" spans="2:19" x14ac:dyDescent="0.15">
      <c r="B2563" s="23"/>
      <c r="C2563" s="23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</row>
    <row r="2564" spans="2:19" x14ac:dyDescent="0.15">
      <c r="B2564" s="23"/>
      <c r="C2564" s="23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</row>
    <row r="2565" spans="2:19" x14ac:dyDescent="0.15">
      <c r="B2565" s="23"/>
      <c r="C2565" s="23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</row>
    <row r="2566" spans="2:19" x14ac:dyDescent="0.15">
      <c r="B2566" s="23"/>
      <c r="C2566" s="23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</row>
    <row r="2567" spans="2:19" x14ac:dyDescent="0.15">
      <c r="B2567" s="23"/>
      <c r="C2567" s="23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</row>
    <row r="2568" spans="2:19" x14ac:dyDescent="0.15">
      <c r="B2568" s="23"/>
      <c r="C2568" s="23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</row>
    <row r="2569" spans="2:19" x14ac:dyDescent="0.15">
      <c r="B2569" s="23"/>
      <c r="C2569" s="23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</row>
    <row r="2570" spans="2:19" x14ac:dyDescent="0.15">
      <c r="B2570" s="23"/>
      <c r="C2570" s="23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</row>
    <row r="2571" spans="2:19" x14ac:dyDescent="0.15">
      <c r="B2571" s="23"/>
      <c r="C2571" s="23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</row>
    <row r="2572" spans="2:19" x14ac:dyDescent="0.15">
      <c r="B2572" s="23"/>
      <c r="C2572" s="23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</row>
    <row r="2573" spans="2:19" x14ac:dyDescent="0.15">
      <c r="B2573" s="23"/>
      <c r="C2573" s="23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</row>
    <row r="2574" spans="2:19" x14ac:dyDescent="0.15">
      <c r="B2574" s="23"/>
      <c r="C2574" s="23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</row>
    <row r="2575" spans="2:19" x14ac:dyDescent="0.15">
      <c r="B2575" s="23"/>
      <c r="C2575" s="23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</row>
    <row r="2576" spans="2:19" x14ac:dyDescent="0.15">
      <c r="B2576" s="23"/>
      <c r="C2576" s="23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</row>
    <row r="2577" spans="2:19" x14ac:dyDescent="0.15">
      <c r="B2577" s="23"/>
      <c r="C2577" s="23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</row>
    <row r="2578" spans="2:19" x14ac:dyDescent="0.15">
      <c r="B2578" s="23"/>
      <c r="C2578" s="23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</row>
    <row r="2579" spans="2:19" x14ac:dyDescent="0.15">
      <c r="B2579" s="23"/>
      <c r="C2579" s="23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</row>
    <row r="2580" spans="2:19" x14ac:dyDescent="0.15">
      <c r="B2580" s="23"/>
      <c r="C2580" s="23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</row>
    <row r="2581" spans="2:19" x14ac:dyDescent="0.15">
      <c r="B2581" s="23"/>
      <c r="C2581" s="23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</row>
    <row r="2582" spans="2:19" x14ac:dyDescent="0.15">
      <c r="B2582" s="23"/>
      <c r="C2582" s="23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</row>
    <row r="2583" spans="2:19" x14ac:dyDescent="0.15">
      <c r="B2583" s="23"/>
      <c r="C2583" s="23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</row>
    <row r="2584" spans="2:19" x14ac:dyDescent="0.15">
      <c r="B2584" s="23"/>
      <c r="C2584" s="23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</row>
    <row r="2585" spans="2:19" x14ac:dyDescent="0.15">
      <c r="B2585" s="23"/>
      <c r="C2585" s="23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</row>
    <row r="2586" spans="2:19" x14ac:dyDescent="0.15">
      <c r="B2586" s="23"/>
      <c r="C2586" s="23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</row>
    <row r="2587" spans="2:19" x14ac:dyDescent="0.15">
      <c r="B2587" s="23"/>
      <c r="C2587" s="23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</row>
    <row r="2588" spans="2:19" x14ac:dyDescent="0.15">
      <c r="B2588" s="23"/>
      <c r="C2588" s="23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</row>
    <row r="2589" spans="2:19" x14ac:dyDescent="0.15">
      <c r="B2589" s="23"/>
      <c r="C2589" s="23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</row>
    <row r="2590" spans="2:19" x14ac:dyDescent="0.15">
      <c r="B2590" s="23"/>
      <c r="C2590" s="23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</row>
    <row r="2591" spans="2:19" x14ac:dyDescent="0.15">
      <c r="B2591" s="23"/>
      <c r="C2591" s="23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</row>
    <row r="2592" spans="2:19" x14ac:dyDescent="0.15">
      <c r="B2592" s="23"/>
      <c r="C2592" s="23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</row>
    <row r="2593" spans="2:19" x14ac:dyDescent="0.15">
      <c r="B2593" s="23"/>
      <c r="C2593" s="23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</row>
    <row r="2594" spans="2:19" x14ac:dyDescent="0.15">
      <c r="B2594" s="23"/>
      <c r="C2594" s="23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</row>
    <row r="2595" spans="2:19" x14ac:dyDescent="0.15">
      <c r="B2595" s="23"/>
      <c r="C2595" s="23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</row>
    <row r="2596" spans="2:19" x14ac:dyDescent="0.15">
      <c r="B2596" s="23"/>
      <c r="C2596" s="23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</row>
    <row r="2597" spans="2:19" x14ac:dyDescent="0.15">
      <c r="B2597" s="23"/>
      <c r="C2597" s="23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</row>
    <row r="2598" spans="2:19" x14ac:dyDescent="0.15">
      <c r="B2598" s="23"/>
      <c r="C2598" s="23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</row>
    <row r="2599" spans="2:19" x14ac:dyDescent="0.15">
      <c r="B2599" s="23"/>
      <c r="C2599" s="23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</row>
    <row r="2600" spans="2:19" x14ac:dyDescent="0.15">
      <c r="B2600" s="23"/>
      <c r="C2600" s="23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</row>
    <row r="2601" spans="2:19" x14ac:dyDescent="0.15">
      <c r="B2601" s="23"/>
      <c r="C2601" s="23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</row>
    <row r="2602" spans="2:19" x14ac:dyDescent="0.15">
      <c r="B2602" s="23"/>
      <c r="C2602" s="23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</row>
    <row r="2603" spans="2:19" x14ac:dyDescent="0.15">
      <c r="B2603" s="23"/>
      <c r="C2603" s="23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</row>
    <row r="2604" spans="2:19" x14ac:dyDescent="0.15">
      <c r="B2604" s="23"/>
      <c r="C2604" s="23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</row>
    <row r="2605" spans="2:19" x14ac:dyDescent="0.15">
      <c r="B2605" s="23"/>
      <c r="C2605" s="23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</row>
    <row r="2606" spans="2:19" x14ac:dyDescent="0.15">
      <c r="B2606" s="23"/>
      <c r="C2606" s="23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</row>
    <row r="2607" spans="2:19" x14ac:dyDescent="0.15">
      <c r="B2607" s="23"/>
      <c r="C2607" s="23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</row>
    <row r="2608" spans="2:19" x14ac:dyDescent="0.15">
      <c r="B2608" s="23"/>
      <c r="C2608" s="23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</row>
    <row r="2609" spans="2:19" x14ac:dyDescent="0.15">
      <c r="B2609" s="23"/>
      <c r="C2609" s="23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</row>
    <row r="2610" spans="2:19" x14ac:dyDescent="0.15">
      <c r="B2610" s="23"/>
      <c r="C2610" s="23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</row>
    <row r="2611" spans="2:19" x14ac:dyDescent="0.15">
      <c r="B2611" s="23"/>
      <c r="C2611" s="23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</row>
    <row r="2612" spans="2:19" x14ac:dyDescent="0.15">
      <c r="B2612" s="23"/>
      <c r="C2612" s="23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</row>
    <row r="2613" spans="2:19" x14ac:dyDescent="0.15">
      <c r="B2613" s="23"/>
      <c r="C2613" s="23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</row>
    <row r="2614" spans="2:19" x14ac:dyDescent="0.15">
      <c r="B2614" s="23"/>
      <c r="C2614" s="23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</row>
    <row r="2615" spans="2:19" x14ac:dyDescent="0.15">
      <c r="B2615" s="23"/>
      <c r="C2615" s="23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</row>
    <row r="2616" spans="2:19" x14ac:dyDescent="0.15">
      <c r="B2616" s="23"/>
      <c r="C2616" s="23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</row>
    <row r="2617" spans="2:19" x14ac:dyDescent="0.15">
      <c r="B2617" s="23"/>
      <c r="C2617" s="23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</row>
    <row r="2618" spans="2:19" x14ac:dyDescent="0.15">
      <c r="B2618" s="23"/>
      <c r="C2618" s="23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</row>
    <row r="2619" spans="2:19" x14ac:dyDescent="0.15">
      <c r="B2619" s="23"/>
      <c r="C2619" s="23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</row>
    <row r="2620" spans="2:19" x14ac:dyDescent="0.15">
      <c r="B2620" s="23"/>
      <c r="C2620" s="23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</row>
    <row r="2621" spans="2:19" x14ac:dyDescent="0.15">
      <c r="B2621" s="23"/>
      <c r="C2621" s="23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</row>
    <row r="2622" spans="2:19" x14ac:dyDescent="0.15">
      <c r="B2622" s="23"/>
      <c r="C2622" s="23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</row>
    <row r="2623" spans="2:19" x14ac:dyDescent="0.15">
      <c r="B2623" s="23"/>
      <c r="C2623" s="23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</row>
    <row r="2624" spans="2:19" x14ac:dyDescent="0.15">
      <c r="B2624" s="23"/>
      <c r="C2624" s="23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</row>
    <row r="2625" spans="2:19" x14ac:dyDescent="0.15">
      <c r="B2625" s="23"/>
      <c r="C2625" s="23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</row>
    <row r="2626" spans="2:19" x14ac:dyDescent="0.15">
      <c r="B2626" s="23"/>
      <c r="C2626" s="23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</row>
    <row r="2627" spans="2:19" x14ac:dyDescent="0.15">
      <c r="B2627" s="23"/>
      <c r="C2627" s="23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</row>
    <row r="2628" spans="2:19" x14ac:dyDescent="0.15">
      <c r="B2628" s="23"/>
      <c r="C2628" s="23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</row>
    <row r="2629" spans="2:19" x14ac:dyDescent="0.15">
      <c r="B2629" s="23"/>
      <c r="C2629" s="23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</row>
    <row r="2630" spans="2:19" x14ac:dyDescent="0.15">
      <c r="B2630" s="23"/>
      <c r="C2630" s="23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</row>
    <row r="2631" spans="2:19" x14ac:dyDescent="0.15">
      <c r="B2631" s="23"/>
      <c r="C2631" s="23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</row>
    <row r="2632" spans="2:19" x14ac:dyDescent="0.15">
      <c r="B2632" s="23"/>
      <c r="C2632" s="23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</row>
    <row r="2633" spans="2:19" x14ac:dyDescent="0.15">
      <c r="B2633" s="23"/>
      <c r="C2633" s="23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</row>
    <row r="2634" spans="2:19" x14ac:dyDescent="0.15">
      <c r="B2634" s="23"/>
      <c r="C2634" s="23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</row>
    <row r="2635" spans="2:19" x14ac:dyDescent="0.15">
      <c r="B2635" s="23"/>
      <c r="C2635" s="23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</row>
    <row r="2636" spans="2:19" x14ac:dyDescent="0.15">
      <c r="B2636" s="23"/>
      <c r="C2636" s="23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</row>
    <row r="2637" spans="2:19" x14ac:dyDescent="0.15">
      <c r="B2637" s="23"/>
      <c r="C2637" s="23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</row>
    <row r="2638" spans="2:19" x14ac:dyDescent="0.15">
      <c r="B2638" s="23"/>
      <c r="C2638" s="23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</row>
    <row r="2639" spans="2:19" x14ac:dyDescent="0.15">
      <c r="B2639" s="23"/>
      <c r="C2639" s="23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</row>
    <row r="2640" spans="2:19" x14ac:dyDescent="0.15">
      <c r="B2640" s="23"/>
      <c r="C2640" s="23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</row>
    <row r="2641" spans="2:19" x14ac:dyDescent="0.15">
      <c r="B2641" s="23"/>
      <c r="C2641" s="23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</row>
    <row r="2642" spans="2:19" x14ac:dyDescent="0.15">
      <c r="B2642" s="23"/>
      <c r="C2642" s="23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</row>
    <row r="2643" spans="2:19" x14ac:dyDescent="0.15">
      <c r="B2643" s="23"/>
      <c r="C2643" s="23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</row>
    <row r="2644" spans="2:19" x14ac:dyDescent="0.15">
      <c r="B2644" s="23"/>
      <c r="C2644" s="23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</row>
    <row r="2645" spans="2:19" x14ac:dyDescent="0.15">
      <c r="B2645" s="23"/>
      <c r="C2645" s="23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</row>
    <row r="2646" spans="2:19" x14ac:dyDescent="0.15">
      <c r="B2646" s="23"/>
      <c r="C2646" s="23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</row>
    <row r="2647" spans="2:19" x14ac:dyDescent="0.15">
      <c r="B2647" s="23"/>
      <c r="C2647" s="23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</row>
    <row r="2648" spans="2:19" x14ac:dyDescent="0.15">
      <c r="B2648" s="23"/>
      <c r="C2648" s="23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</row>
    <row r="2649" spans="2:19" x14ac:dyDescent="0.15">
      <c r="B2649" s="23"/>
      <c r="C2649" s="23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</row>
    <row r="2650" spans="2:19" x14ac:dyDescent="0.15">
      <c r="B2650" s="23"/>
      <c r="C2650" s="23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</row>
    <row r="2651" spans="2:19" x14ac:dyDescent="0.15">
      <c r="B2651" s="23"/>
      <c r="C2651" s="23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</row>
    <row r="2652" spans="2:19" x14ac:dyDescent="0.15">
      <c r="B2652" s="23"/>
      <c r="C2652" s="23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</row>
    <row r="2653" spans="2:19" x14ac:dyDescent="0.15">
      <c r="B2653" s="23"/>
      <c r="C2653" s="23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</row>
    <row r="2654" spans="2:19" x14ac:dyDescent="0.15">
      <c r="B2654" s="23"/>
      <c r="C2654" s="23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</row>
    <row r="2655" spans="2:19" x14ac:dyDescent="0.15">
      <c r="B2655" s="23"/>
      <c r="C2655" s="23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</row>
    <row r="2656" spans="2:19" x14ac:dyDescent="0.15">
      <c r="B2656" s="23"/>
      <c r="C2656" s="23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</row>
    <row r="2657" spans="2:19" x14ac:dyDescent="0.15">
      <c r="B2657" s="23"/>
      <c r="C2657" s="23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</row>
    <row r="2658" spans="2:19" x14ac:dyDescent="0.15">
      <c r="B2658" s="23"/>
      <c r="C2658" s="23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</row>
    <row r="2659" spans="2:19" x14ac:dyDescent="0.15">
      <c r="B2659" s="23"/>
      <c r="C2659" s="23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</row>
    <row r="2660" spans="2:19" x14ac:dyDescent="0.15">
      <c r="B2660" s="23"/>
      <c r="C2660" s="23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</row>
    <row r="2661" spans="2:19" x14ac:dyDescent="0.15">
      <c r="B2661" s="23"/>
      <c r="C2661" s="23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</row>
    <row r="2662" spans="2:19" x14ac:dyDescent="0.15">
      <c r="B2662" s="23"/>
      <c r="C2662" s="23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</row>
    <row r="2663" spans="2:19" x14ac:dyDescent="0.15">
      <c r="B2663" s="23"/>
      <c r="C2663" s="23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</row>
    <row r="2664" spans="2:19" x14ac:dyDescent="0.15">
      <c r="B2664" s="23"/>
      <c r="C2664" s="23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</row>
    <row r="2665" spans="2:19" x14ac:dyDescent="0.15">
      <c r="B2665" s="23"/>
      <c r="C2665" s="23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</row>
    <row r="2666" spans="2:19" x14ac:dyDescent="0.15">
      <c r="B2666" s="23"/>
      <c r="C2666" s="23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</row>
    <row r="2667" spans="2:19" x14ac:dyDescent="0.15">
      <c r="B2667" s="23"/>
      <c r="C2667" s="23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</row>
    <row r="2668" spans="2:19" x14ac:dyDescent="0.15">
      <c r="B2668" s="23"/>
      <c r="C2668" s="23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</row>
    <row r="2669" spans="2:19" x14ac:dyDescent="0.15">
      <c r="B2669" s="23"/>
      <c r="C2669" s="23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</row>
    <row r="2670" spans="2:19" x14ac:dyDescent="0.15">
      <c r="B2670" s="23"/>
      <c r="C2670" s="23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</row>
    <row r="2671" spans="2:19" x14ac:dyDescent="0.15">
      <c r="B2671" s="23"/>
      <c r="C2671" s="23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</row>
    <row r="2672" spans="2:19" x14ac:dyDescent="0.15">
      <c r="B2672" s="23"/>
      <c r="C2672" s="23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</row>
    <row r="2673" spans="2:19" x14ac:dyDescent="0.15">
      <c r="B2673" s="23"/>
      <c r="C2673" s="23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</row>
    <row r="2674" spans="2:19" x14ac:dyDescent="0.15">
      <c r="B2674" s="23"/>
      <c r="C2674" s="23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</row>
    <row r="2675" spans="2:19" x14ac:dyDescent="0.15">
      <c r="B2675" s="23"/>
      <c r="C2675" s="23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</row>
    <row r="2676" spans="2:19" x14ac:dyDescent="0.15">
      <c r="B2676" s="23"/>
      <c r="C2676" s="23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</row>
  </sheetData>
  <mergeCells count="6">
    <mergeCell ref="K5:O5"/>
    <mergeCell ref="AL35:AM35"/>
    <mergeCell ref="L8:N8"/>
    <mergeCell ref="K8:K9"/>
    <mergeCell ref="O8:O9"/>
    <mergeCell ref="K16:O16"/>
  </mergeCells>
  <phoneticPr fontId="2" type="noConversion"/>
  <conditionalFormatting sqref="D29:D31 D25:D27">
    <cfRule type="cellIs" dxfId="2" priority="4" stopIfTrue="1" operator="equal">
      <formula>0</formula>
    </cfRule>
  </conditionalFormatting>
  <conditionalFormatting sqref="D29">
    <cfRule type="expression" dxfId="1" priority="2" stopIfTrue="1">
      <formula>$D$29&gt;$H$9</formula>
    </cfRule>
  </conditionalFormatting>
  <conditionalFormatting sqref="D30">
    <cfRule type="expression" dxfId="0" priority="1">
      <formula>$D$30&lt;$H$8</formula>
    </cfRule>
  </conditionalFormatting>
  <printOptions horizontalCentered="1" verticalCentered="1"/>
  <pageMargins left="0.31496062992125984" right="0.31496062992125984" top="0.35" bottom="0.59055118110236227" header="0.51181102362204722" footer="0.21"/>
  <pageSetup paperSize="9" scale="70" orientation="landscape" horizontalDpi="300" verticalDpi="300" r:id="rId1"/>
  <headerFooter alignWithMargins="0">
    <oddHeader>&amp;CPery Nazareth&amp;R&amp;D</oddHeader>
    <oddFooter>&amp;L&amp;F&amp;C&amp;A&amp;R&amp;P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G6"/>
  <sheetViews>
    <sheetView workbookViewId="0">
      <selection activeCell="Y6" sqref="Y6"/>
    </sheetView>
  </sheetViews>
  <sheetFormatPr defaultColWidth="9.140625" defaultRowHeight="12.75" x14ac:dyDescent="0.2"/>
  <cols>
    <col min="1" max="1" width="21.140625" customWidth="1"/>
    <col min="2" max="7" width="9.140625" style="48" customWidth="1"/>
    <col min="8" max="8" width="6.140625" customWidth="1"/>
    <col min="9" max="9" width="9.140625" customWidth="1"/>
    <col min="10" max="10" width="5.42578125" bestFit="1" customWidth="1"/>
    <col min="11" max="11" width="12" customWidth="1"/>
    <col min="12" max="12" width="10" customWidth="1"/>
    <col min="13" max="13" width="9.140625" customWidth="1"/>
    <col min="14" max="14" width="16.5703125" customWidth="1"/>
    <col min="15" max="15" width="12.85546875" customWidth="1"/>
    <col min="16" max="16" width="10.85546875" customWidth="1"/>
    <col min="17" max="28" width="10.7109375" customWidth="1"/>
    <col min="29" max="29" width="14.85546875" customWidth="1"/>
    <col min="30" max="30" width="10.7109375" bestFit="1" customWidth="1"/>
    <col min="31" max="31" width="9.140625" customWidth="1"/>
    <col min="32" max="32" width="13.28515625" bestFit="1" customWidth="1"/>
    <col min="33" max="34" width="9.140625" customWidth="1"/>
    <col min="35" max="35" width="4.7109375" bestFit="1" customWidth="1"/>
    <col min="36" max="37" width="3.42578125" bestFit="1" customWidth="1"/>
  </cols>
  <sheetData>
    <row r="1" spans="1:33" s="30" customFormat="1" x14ac:dyDescent="0.2">
      <c r="A1" s="28"/>
      <c r="B1" s="37"/>
      <c r="C1" s="37"/>
      <c r="D1" s="37"/>
      <c r="E1" s="38"/>
      <c r="F1" s="39"/>
      <c r="G1" s="39"/>
      <c r="H1" s="29"/>
      <c r="I1" s="29"/>
      <c r="J1" s="29"/>
      <c r="M1" s="29"/>
    </row>
    <row r="2" spans="1:33" s="30" customFormat="1" x14ac:dyDescent="0.2">
      <c r="A2" s="28"/>
      <c r="B2" s="37"/>
      <c r="C2" s="37"/>
      <c r="D2" s="37"/>
      <c r="E2" s="40"/>
      <c r="F2" s="40"/>
      <c r="G2" s="40"/>
    </row>
    <row r="3" spans="1:33" s="30" customFormat="1" x14ac:dyDescent="0.2">
      <c r="A3" s="28"/>
      <c r="B3" s="37"/>
      <c r="C3" s="37"/>
      <c r="D3" s="37"/>
      <c r="E3" s="40"/>
      <c r="F3" s="40"/>
      <c r="G3" s="40"/>
    </row>
    <row r="4" spans="1:33" s="30" customFormat="1" x14ac:dyDescent="0.2">
      <c r="B4" s="40"/>
      <c r="C4" s="40"/>
      <c r="D4" s="40"/>
      <c r="E4" s="40"/>
      <c r="F4" s="40"/>
      <c r="G4" s="40"/>
    </row>
    <row r="5" spans="1:33" s="33" customFormat="1" x14ac:dyDescent="0.2">
      <c r="B5" s="41"/>
      <c r="C5" s="34" t="s">
        <v>6</v>
      </c>
      <c r="D5" s="34" t="s">
        <v>7</v>
      </c>
      <c r="E5" s="34" t="s">
        <v>8</v>
      </c>
      <c r="F5" s="34" t="s">
        <v>0</v>
      </c>
      <c r="G5" s="42" t="s">
        <v>15</v>
      </c>
      <c r="H5" s="36" t="s">
        <v>9</v>
      </c>
      <c r="I5" s="36" t="s">
        <v>10</v>
      </c>
      <c r="J5" s="28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5" t="s">
        <v>16</v>
      </c>
      <c r="Z5" s="28"/>
      <c r="AA5" s="36" t="s">
        <v>17</v>
      </c>
      <c r="AB5" s="36" t="s">
        <v>18</v>
      </c>
      <c r="AC5" s="36" t="s">
        <v>19</v>
      </c>
      <c r="AD5" s="36" t="s">
        <v>20</v>
      </c>
      <c r="AE5" s="36" t="s">
        <v>12</v>
      </c>
      <c r="AF5" s="36" t="s">
        <v>14</v>
      </c>
      <c r="AG5" s="36" t="s">
        <v>11</v>
      </c>
    </row>
    <row r="6" spans="1:33" s="30" customFormat="1" x14ac:dyDescent="0.2">
      <c r="B6" s="43"/>
      <c r="C6" s="44">
        <f>'Vazoes e Calculo Hidraulico'!D19</f>
        <v>36.166666666666664</v>
      </c>
      <c r="D6" s="45">
        <f>'Vazoes e Calculo Hidraulico'!D22</f>
        <v>250</v>
      </c>
      <c r="E6" s="46">
        <f>'Vazoes e Calculo Hidraulico'!D21</f>
        <v>4.4999999999999997E-3</v>
      </c>
      <c r="F6" s="39">
        <f>'Vazoes e Calculo Hidraulico'!D13</f>
        <v>1.2999999999999999E-2</v>
      </c>
      <c r="G6" s="47">
        <f>ABS(X6-Y6)</f>
        <v>0</v>
      </c>
      <c r="H6" s="28">
        <f>(F6*C6/1000)/((E6^0.5)*((D6/1000)^(8/3)))</f>
        <v>0.28257835271696907</v>
      </c>
      <c r="I6" s="28">
        <f>8*(((H6^3)/4)^0.2)</f>
        <v>2.8402810887722922</v>
      </c>
      <c r="J6" s="31">
        <f>PI()</f>
        <v>3.1415926535897931</v>
      </c>
      <c r="K6" s="28">
        <f t="shared" ref="K6:Y6" si="0">$I6*(J6^0.4)+(SIN(J6))</f>
        <v>4.4897408212466132</v>
      </c>
      <c r="L6" s="28">
        <f t="shared" si="0"/>
        <v>4.2037306212125252</v>
      </c>
      <c r="M6" s="28">
        <f t="shared" si="0"/>
        <v>4.171068182289531</v>
      </c>
      <c r="N6" s="28">
        <f t="shared" si="0"/>
        <v>4.1717233623703063</v>
      </c>
      <c r="O6" s="28">
        <f t="shared" si="0"/>
        <v>4.1717018989632493</v>
      </c>
      <c r="P6" s="28">
        <f t="shared" si="0"/>
        <v>4.1717025967365533</v>
      </c>
      <c r="Q6" s="28">
        <f t="shared" si="0"/>
        <v>4.1717025740463001</v>
      </c>
      <c r="R6" s="28">
        <f t="shared" si="0"/>
        <v>4.1717025747841374</v>
      </c>
      <c r="S6" s="28">
        <f t="shared" si="0"/>
        <v>4.1717025747601451</v>
      </c>
      <c r="T6" s="28">
        <f t="shared" si="0"/>
        <v>4.1717025747609258</v>
      </c>
      <c r="U6" s="28">
        <f t="shared" si="0"/>
        <v>4.1717025747608991</v>
      </c>
      <c r="V6" s="28">
        <f t="shared" si="0"/>
        <v>4.1717025747609009</v>
      </c>
      <c r="W6" s="28">
        <f t="shared" si="0"/>
        <v>4.1717025747609009</v>
      </c>
      <c r="X6" s="28">
        <f t="shared" si="0"/>
        <v>4.1717025747609009</v>
      </c>
      <c r="Y6" s="28">
        <f t="shared" si="0"/>
        <v>4.1717025747609009</v>
      </c>
      <c r="Z6" s="28">
        <f>(AD6^(2/3)*E6^0.5/F6)</f>
        <v>0.9205169629892952</v>
      </c>
      <c r="AA6" s="28">
        <f>IF(Y6&gt;2*PI(),0,((D6/1000)^2)/8*(Y6-SIN(Y6)))</f>
        <v>3.9289516783285232E-2</v>
      </c>
      <c r="AB6" s="28">
        <f>IF(Y6&gt;2*PI(),0,Y6/2*D6/1000)</f>
        <v>0.52146282184511261</v>
      </c>
      <c r="AC6" s="28">
        <f>IF(Y6&lt;=2*PI(),(1-COS(Y6/2))*D6/1000/2,0)</f>
        <v>0.18657283501122671</v>
      </c>
      <c r="AD6" s="28">
        <f>IF(Y6&gt;2*PI(),0,(D6/1000/4)*(Y6-(SIN(Y6)))/Y6)</f>
        <v>7.5344809135703239E-2</v>
      </c>
      <c r="AE6" s="25">
        <f>AC6/(D6/1000)</f>
        <v>0.74629134004490683</v>
      </c>
      <c r="AF6" s="28">
        <f>1000*AD6*E6*10</f>
        <v>3.3905164111066455</v>
      </c>
      <c r="AG6" s="32">
        <f>(AD6^(2/3)*E6^0.5/F6)</f>
        <v>0.9205169629892952</v>
      </c>
    </row>
  </sheetData>
  <phoneticPr fontId="0" type="noConversion"/>
  <pageMargins left="0.75" right="0.75" top="1" bottom="1" header="0.49212598499999999" footer="0.49212598499999999"/>
  <pageSetup paperSize="9" orientation="portrait" horizontalDpi="3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Vazoes e Calculo Hidraulico</vt:lpstr>
      <vt:lpstr>CH</vt:lpstr>
      <vt:lpstr>'Vazoes e Calculo Hidraulico'!Area_de_impressao</vt:lpstr>
    </vt:vector>
  </TitlesOfParts>
  <Company>YKUA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Pery Nazareth</dc:creator>
  <dc:description>Perynazareth@gmail.com</dc:description>
  <cp:lastModifiedBy>Leonardo</cp:lastModifiedBy>
  <dcterms:created xsi:type="dcterms:W3CDTF">2002-01-26T14:47:02Z</dcterms:created>
  <dcterms:modified xsi:type="dcterms:W3CDTF">2018-05-08T21:23:31Z</dcterms:modified>
</cp:coreProperties>
</file>